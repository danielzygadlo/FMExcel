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wnloads\"/>
    </mc:Choice>
  </mc:AlternateContent>
  <xr:revisionPtr revIDLastSave="0" documentId="13_ncr:1_{0164AFC7-AEC8-4596-BCC9-FDED1A9B9C8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eam Information" sheetId="2" r:id="rId1"/>
    <sheet name="Loan_Amortization" sheetId="3" r:id="rId2"/>
    <sheet name="Sinking Fund2" sheetId="6" r:id="rId3"/>
    <sheet name="Bond" sheetId="5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" i="6" l="1"/>
  <c r="D2" i="6"/>
  <c r="J4" i="6" l="1"/>
  <c r="C7" i="3"/>
  <c r="F4" i="6" l="1"/>
  <c r="O4" i="6" l="1"/>
  <c r="F5" i="6"/>
  <c r="P5" i="6" s="1"/>
  <c r="G5" i="6"/>
  <c r="P4" i="6"/>
  <c r="N3" i="6"/>
  <c r="M3" i="6"/>
  <c r="O5" i="6" l="1"/>
  <c r="Q5" i="6" s="1"/>
  <c r="F6" i="6"/>
  <c r="O6" i="6" s="1"/>
  <c r="G6" i="6"/>
  <c r="Q4" i="6"/>
  <c r="K4" i="6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F4" i="5"/>
  <c r="G5" i="5" s="1"/>
  <c r="G4" i="5"/>
  <c r="C9" i="5"/>
  <c r="J4" i="5" s="1"/>
  <c r="F4" i="3"/>
  <c r="M4" i="6" l="1"/>
  <c r="J5" i="6" s="1"/>
  <c r="P6" i="6"/>
  <c r="F7" i="6"/>
  <c r="G7" i="6"/>
  <c r="J3" i="5"/>
  <c r="H4" i="5"/>
  <c r="I4" i="5" s="1"/>
  <c r="F5" i="5"/>
  <c r="C6" i="3"/>
  <c r="F5" i="3"/>
  <c r="J3" i="3"/>
  <c r="H4" i="3" s="1"/>
  <c r="Q6" i="6" l="1"/>
  <c r="K5" i="6"/>
  <c r="F8" i="6"/>
  <c r="P8" i="6" s="1"/>
  <c r="O8" i="6"/>
  <c r="G8" i="6"/>
  <c r="P7" i="6"/>
  <c r="O7" i="6"/>
  <c r="G5" i="3"/>
  <c r="J5" i="5"/>
  <c r="F6" i="5"/>
  <c r="H6" i="5"/>
  <c r="I6" i="5" s="1"/>
  <c r="H5" i="5"/>
  <c r="I5" i="5" s="1"/>
  <c r="G6" i="5"/>
  <c r="F6" i="3"/>
  <c r="F7" i="3" s="1"/>
  <c r="F8" i="3" s="1"/>
  <c r="Q8" i="6" l="1"/>
  <c r="M5" i="6"/>
  <c r="Q7" i="6"/>
  <c r="F9" i="6"/>
  <c r="P9" i="6" s="1"/>
  <c r="G9" i="6"/>
  <c r="G4" i="3"/>
  <c r="I4" i="3" s="1"/>
  <c r="J6" i="5"/>
  <c r="F7" i="5"/>
  <c r="G7" i="5"/>
  <c r="G8" i="5"/>
  <c r="J4" i="3"/>
  <c r="H5" i="3" s="1"/>
  <c r="I5" i="3" s="1"/>
  <c r="J5" i="3" s="1"/>
  <c r="H6" i="3" s="1"/>
  <c r="G8" i="3"/>
  <c r="G7" i="3"/>
  <c r="G6" i="3"/>
  <c r="F9" i="3"/>
  <c r="O9" i="6" l="1"/>
  <c r="Q9" i="6" s="1"/>
  <c r="J6" i="6"/>
  <c r="F10" i="6"/>
  <c r="P10" i="6" s="1"/>
  <c r="G10" i="6"/>
  <c r="F8" i="5"/>
  <c r="H7" i="5"/>
  <c r="I7" i="5" s="1"/>
  <c r="J7" i="5"/>
  <c r="H8" i="5"/>
  <c r="I8" i="5" s="1"/>
  <c r="G9" i="5"/>
  <c r="F9" i="5"/>
  <c r="I6" i="3"/>
  <c r="J6" i="3" s="1"/>
  <c r="H7" i="3" s="1"/>
  <c r="I7" i="3" s="1"/>
  <c r="J7" i="3" s="1"/>
  <c r="H8" i="3" s="1"/>
  <c r="I8" i="3" s="1"/>
  <c r="J8" i="3" s="1"/>
  <c r="G9" i="3"/>
  <c r="F10" i="3"/>
  <c r="O10" i="6" l="1"/>
  <c r="K6" i="6"/>
  <c r="Q10" i="6"/>
  <c r="G11" i="6"/>
  <c r="F11" i="6"/>
  <c r="P11" i="6" s="1"/>
  <c r="J9" i="5"/>
  <c r="J8" i="5"/>
  <c r="H9" i="5"/>
  <c r="I9" i="5" s="1"/>
  <c r="G10" i="5"/>
  <c r="F10" i="5"/>
  <c r="G10" i="3"/>
  <c r="H9" i="3"/>
  <c r="I9" i="3" s="1"/>
  <c r="J9" i="3" s="1"/>
  <c r="F11" i="3"/>
  <c r="M6" i="6" l="1"/>
  <c r="F12" i="6"/>
  <c r="G12" i="6"/>
  <c r="O11" i="6"/>
  <c r="Q11" i="6" s="1"/>
  <c r="J10" i="5"/>
  <c r="H10" i="5"/>
  <c r="I10" i="5" s="1"/>
  <c r="G11" i="5"/>
  <c r="F11" i="5"/>
  <c r="G11" i="3"/>
  <c r="H10" i="3"/>
  <c r="I10" i="3" s="1"/>
  <c r="J10" i="3" s="1"/>
  <c r="F12" i="3"/>
  <c r="J7" i="6" l="1"/>
  <c r="G13" i="6"/>
  <c r="F13" i="6"/>
  <c r="P12" i="6"/>
  <c r="O12" i="6"/>
  <c r="J11" i="5"/>
  <c r="H11" i="5"/>
  <c r="I11" i="5" s="1"/>
  <c r="G12" i="5"/>
  <c r="F12" i="5"/>
  <c r="G12" i="3"/>
  <c r="H11" i="3"/>
  <c r="I11" i="3" s="1"/>
  <c r="J11" i="3" s="1"/>
  <c r="F13" i="3"/>
  <c r="G13" i="3" s="1"/>
  <c r="Q12" i="6" l="1"/>
  <c r="K7" i="6"/>
  <c r="F14" i="6"/>
  <c r="G14" i="6"/>
  <c r="O13" i="6"/>
  <c r="P13" i="6"/>
  <c r="Q13" i="6" s="1"/>
  <c r="J12" i="5"/>
  <c r="H12" i="5"/>
  <c r="I12" i="5" s="1"/>
  <c r="G13" i="5"/>
  <c r="F13" i="5"/>
  <c r="H12" i="3"/>
  <c r="I12" i="3" s="1"/>
  <c r="J12" i="3" s="1"/>
  <c r="F14" i="3"/>
  <c r="G14" i="3" s="1"/>
  <c r="M7" i="6" l="1"/>
  <c r="F15" i="6"/>
  <c r="G15" i="6"/>
  <c r="P14" i="6"/>
  <c r="O14" i="6"/>
  <c r="J13" i="5"/>
  <c r="H13" i="5"/>
  <c r="I13" i="5" s="1"/>
  <c r="G14" i="5"/>
  <c r="F14" i="5"/>
  <c r="G15" i="3"/>
  <c r="H13" i="3"/>
  <c r="I13" i="3" s="1"/>
  <c r="J13" i="3" s="1"/>
  <c r="F15" i="3"/>
  <c r="J8" i="6" l="1"/>
  <c r="K8" i="6" s="1"/>
  <c r="Q14" i="6"/>
  <c r="F16" i="6"/>
  <c r="G16" i="6"/>
  <c r="P15" i="6"/>
  <c r="O15" i="6"/>
  <c r="H14" i="3"/>
  <c r="I14" i="3" s="1"/>
  <c r="J14" i="3" s="1"/>
  <c r="H14" i="5"/>
  <c r="J14" i="5"/>
  <c r="G15" i="5"/>
  <c r="F15" i="5"/>
  <c r="F16" i="3"/>
  <c r="G16" i="3" s="1"/>
  <c r="Q15" i="6" l="1"/>
  <c r="M8" i="6"/>
  <c r="J9" i="6" s="1"/>
  <c r="K9" i="6" s="1"/>
  <c r="M9" i="6" s="1"/>
  <c r="J10" i="6" s="1"/>
  <c r="K10" i="6" s="1"/>
  <c r="M10" i="6" s="1"/>
  <c r="J11" i="6" s="1"/>
  <c r="K11" i="6" s="1"/>
  <c r="M11" i="6" s="1"/>
  <c r="J12" i="6" s="1"/>
  <c r="K12" i="6" s="1"/>
  <c r="M12" i="6" s="1"/>
  <c r="G17" i="6"/>
  <c r="F17" i="6"/>
  <c r="O17" i="6" s="1"/>
  <c r="P16" i="6"/>
  <c r="O16" i="6"/>
  <c r="H15" i="3"/>
  <c r="I15" i="3" s="1"/>
  <c r="J15" i="3"/>
  <c r="J15" i="5"/>
  <c r="H15" i="5"/>
  <c r="G16" i="5"/>
  <c r="F16" i="5"/>
  <c r="F17" i="3"/>
  <c r="G17" i="3"/>
  <c r="F18" i="3"/>
  <c r="Q16" i="6" l="1"/>
  <c r="J13" i="6"/>
  <c r="K13" i="6" s="1"/>
  <c r="M13" i="6" s="1"/>
  <c r="J14" i="6" s="1"/>
  <c r="K14" i="6" s="1"/>
  <c r="M14" i="6" s="1"/>
  <c r="J15" i="6" s="1"/>
  <c r="K15" i="6" s="1"/>
  <c r="M15" i="6" s="1"/>
  <c r="J16" i="6" s="1"/>
  <c r="K16" i="6" s="1"/>
  <c r="M16" i="6" s="1"/>
  <c r="J17" i="6" s="1"/>
  <c r="K17" i="6" s="1"/>
  <c r="M17" i="6" s="1"/>
  <c r="J18" i="6" s="1"/>
  <c r="G18" i="6"/>
  <c r="F18" i="6"/>
  <c r="O18" i="6" s="1"/>
  <c r="P17" i="6"/>
  <c r="Q17" i="6" s="1"/>
  <c r="H16" i="3"/>
  <c r="I16" i="3" s="1"/>
  <c r="J16" i="3" s="1"/>
  <c r="H16" i="5"/>
  <c r="J16" i="5"/>
  <c r="G17" i="5"/>
  <c r="F17" i="5"/>
  <c r="G18" i="3"/>
  <c r="F19" i="3"/>
  <c r="G19" i="3" s="1"/>
  <c r="K18" i="6" l="1"/>
  <c r="M18" i="6" s="1"/>
  <c r="J19" i="6" s="1"/>
  <c r="F19" i="6"/>
  <c r="O19" i="6" s="1"/>
  <c r="G19" i="6"/>
  <c r="P18" i="6"/>
  <c r="Q18" i="6" s="1"/>
  <c r="H17" i="3"/>
  <c r="I17" i="3" s="1"/>
  <c r="J17" i="3"/>
  <c r="H17" i="5"/>
  <c r="J17" i="5"/>
  <c r="G18" i="5"/>
  <c r="F18" i="5"/>
  <c r="F20" i="3"/>
  <c r="G20" i="3" s="1"/>
  <c r="K19" i="6" l="1"/>
  <c r="M19" i="6" s="1"/>
  <c r="P19" i="6"/>
  <c r="Q19" i="6" s="1"/>
  <c r="J20" i="6"/>
  <c r="F20" i="6"/>
  <c r="O20" i="6" s="1"/>
  <c r="G20" i="6"/>
  <c r="H18" i="3"/>
  <c r="I18" i="3" s="1"/>
  <c r="J18" i="3" s="1"/>
  <c r="J18" i="5"/>
  <c r="H18" i="5"/>
  <c r="G19" i="5"/>
  <c r="F19" i="5"/>
  <c r="F21" i="3"/>
  <c r="G21" i="3" s="1"/>
  <c r="P20" i="6" l="1"/>
  <c r="Q20" i="6" s="1"/>
  <c r="K20" i="6"/>
  <c r="M20" i="6" s="1"/>
  <c r="J21" i="6" s="1"/>
  <c r="K21" i="6" s="1"/>
  <c r="M21" i="6" s="1"/>
  <c r="G21" i="6"/>
  <c r="F21" i="6"/>
  <c r="H19" i="3"/>
  <c r="I19" i="3" s="1"/>
  <c r="J19" i="3"/>
  <c r="J19" i="5"/>
  <c r="H19" i="5"/>
  <c r="G20" i="5"/>
  <c r="F20" i="5"/>
  <c r="F22" i="3"/>
  <c r="G22" i="3" s="1"/>
  <c r="G22" i="6" l="1"/>
  <c r="F22" i="6"/>
  <c r="P22" i="6" s="1"/>
  <c r="J22" i="6"/>
  <c r="K22" i="6" s="1"/>
  <c r="M22" i="6" s="1"/>
  <c r="O21" i="6"/>
  <c r="P21" i="6"/>
  <c r="H20" i="3"/>
  <c r="I20" i="3" s="1"/>
  <c r="J20" i="3" s="1"/>
  <c r="J20" i="5"/>
  <c r="H20" i="5"/>
  <c r="G21" i="5"/>
  <c r="F21" i="5"/>
  <c r="F23" i="3"/>
  <c r="G23" i="3" s="1"/>
  <c r="Q21" i="6" l="1"/>
  <c r="F23" i="6"/>
  <c r="O23" i="6" s="1"/>
  <c r="G23" i="6"/>
  <c r="J23" i="6"/>
  <c r="O22" i="6"/>
  <c r="Q22" i="6" s="1"/>
  <c r="H21" i="3"/>
  <c r="I21" i="3" s="1"/>
  <c r="J21" i="3"/>
  <c r="J21" i="5"/>
  <c r="H21" i="5"/>
  <c r="G22" i="5"/>
  <c r="F22" i="5"/>
  <c r="F24" i="3"/>
  <c r="G24" i="3" s="1"/>
  <c r="P23" i="6" l="1"/>
  <c r="Q23" i="6" s="1"/>
  <c r="K23" i="6"/>
  <c r="M23" i="6" s="1"/>
  <c r="J24" i="6" s="1"/>
  <c r="F24" i="6"/>
  <c r="P24" i="6" s="1"/>
  <c r="G24" i="6"/>
  <c r="H22" i="3"/>
  <c r="I22" i="3" s="1"/>
  <c r="J22" i="3" s="1"/>
  <c r="H22" i="5"/>
  <c r="J23" i="5"/>
  <c r="J22" i="5"/>
  <c r="G23" i="5"/>
  <c r="F23" i="5"/>
  <c r="J24" i="5" s="1"/>
  <c r="F25" i="3"/>
  <c r="G25" i="3" s="1"/>
  <c r="O24" i="6" l="1"/>
  <c r="Q24" i="6"/>
  <c r="K24" i="6"/>
  <c r="M24" i="6" s="1"/>
  <c r="J25" i="6"/>
  <c r="F25" i="6"/>
  <c r="P25" i="6" s="1"/>
  <c r="G25" i="6"/>
  <c r="H23" i="3"/>
  <c r="I23" i="3" s="1"/>
  <c r="J23" i="3" s="1"/>
  <c r="H23" i="5"/>
  <c r="G24" i="5"/>
  <c r="H24" i="5"/>
  <c r="F24" i="5"/>
  <c r="J25" i="5" s="1"/>
  <c r="F26" i="3"/>
  <c r="G26" i="3" s="1"/>
  <c r="K25" i="6" l="1"/>
  <c r="M25" i="6" s="1"/>
  <c r="J26" i="6" s="1"/>
  <c r="O25" i="6"/>
  <c r="Q25" i="6" s="1"/>
  <c r="G26" i="6"/>
  <c r="F26" i="6"/>
  <c r="O26" i="6" s="1"/>
  <c r="H24" i="3"/>
  <c r="I24" i="3" s="1"/>
  <c r="J24" i="3" s="1"/>
  <c r="G25" i="5"/>
  <c r="H25" i="5"/>
  <c r="F25" i="5"/>
  <c r="J26" i="5" s="1"/>
  <c r="F27" i="3"/>
  <c r="G27" i="3" s="1"/>
  <c r="P26" i="6" l="1"/>
  <c r="Q26" i="6" s="1"/>
  <c r="K26" i="6"/>
  <c r="M26" i="6" s="1"/>
  <c r="J27" i="6" s="1"/>
  <c r="G27" i="6"/>
  <c r="F27" i="6"/>
  <c r="O27" i="6" s="1"/>
  <c r="H25" i="3"/>
  <c r="I25" i="3" s="1"/>
  <c r="J25" i="3"/>
  <c r="G26" i="5"/>
  <c r="H26" i="5"/>
  <c r="F26" i="5"/>
  <c r="J27" i="5" s="1"/>
  <c r="F28" i="3"/>
  <c r="G28" i="3" s="1"/>
  <c r="K27" i="6" l="1"/>
  <c r="M27" i="6" s="1"/>
  <c r="G28" i="6"/>
  <c r="F28" i="6"/>
  <c r="O28" i="6" s="1"/>
  <c r="J28" i="6"/>
  <c r="K28" i="6" s="1"/>
  <c r="P27" i="6"/>
  <c r="Q27" i="6" s="1"/>
  <c r="H26" i="3"/>
  <c r="I26" i="3" s="1"/>
  <c r="J26" i="3" s="1"/>
  <c r="G27" i="5"/>
  <c r="H27" i="5"/>
  <c r="F27" i="5"/>
  <c r="J28" i="5" s="1"/>
  <c r="F29" i="3"/>
  <c r="G29" i="3" s="1"/>
  <c r="P28" i="6" l="1"/>
  <c r="Q28" i="6" s="1"/>
  <c r="G29" i="6"/>
  <c r="F29" i="6"/>
  <c r="O29" i="6" s="1"/>
  <c r="M28" i="6"/>
  <c r="H27" i="3"/>
  <c r="I27" i="3" s="1"/>
  <c r="J27" i="3" s="1"/>
  <c r="G28" i="5"/>
  <c r="H28" i="5"/>
  <c r="F28" i="5"/>
  <c r="J29" i="5" s="1"/>
  <c r="F30" i="3"/>
  <c r="G30" i="3" s="1"/>
  <c r="J29" i="6" l="1"/>
  <c r="K29" i="6" s="1"/>
  <c r="M29" i="6" s="1"/>
  <c r="F30" i="6"/>
  <c r="O30" i="6" s="1"/>
  <c r="G30" i="6"/>
  <c r="P29" i="6"/>
  <c r="Q29" i="6" s="1"/>
  <c r="H28" i="3"/>
  <c r="I28" i="3" s="1"/>
  <c r="J28" i="3" s="1"/>
  <c r="G29" i="5"/>
  <c r="H29" i="5"/>
  <c r="F29" i="5"/>
  <c r="J30" i="5" s="1"/>
  <c r="F31" i="3"/>
  <c r="G31" i="3" s="1"/>
  <c r="J30" i="6" l="1"/>
  <c r="K30" i="6" s="1"/>
  <c r="M30" i="6"/>
  <c r="P30" i="6"/>
  <c r="Q30" i="6" s="1"/>
  <c r="F31" i="6"/>
  <c r="P31" i="6" s="1"/>
  <c r="G31" i="6"/>
  <c r="H29" i="3"/>
  <c r="I29" i="3" s="1"/>
  <c r="J29" i="3" s="1"/>
  <c r="G30" i="5"/>
  <c r="H30" i="5"/>
  <c r="F30" i="5"/>
  <c r="J31" i="5" s="1"/>
  <c r="F32" i="3"/>
  <c r="G32" i="3" s="1"/>
  <c r="O31" i="6" l="1"/>
  <c r="Q31" i="6" s="1"/>
  <c r="G32" i="6"/>
  <c r="F32" i="6"/>
  <c r="P32" i="6" s="1"/>
  <c r="J31" i="6"/>
  <c r="K31" i="6" s="1"/>
  <c r="M31" i="6" s="1"/>
  <c r="H30" i="3"/>
  <c r="I30" i="3" s="1"/>
  <c r="J30" i="3" s="1"/>
  <c r="G31" i="5"/>
  <c r="H31" i="5"/>
  <c r="F31" i="5"/>
  <c r="J32" i="5" s="1"/>
  <c r="F33" i="3"/>
  <c r="G33" i="3" s="1"/>
  <c r="J32" i="6" l="1"/>
  <c r="K32" i="6" s="1"/>
  <c r="M32" i="6" s="1"/>
  <c r="G33" i="6"/>
  <c r="F33" i="6"/>
  <c r="O32" i="6"/>
  <c r="Q32" i="6" s="1"/>
  <c r="H31" i="3"/>
  <c r="I31" i="3" s="1"/>
  <c r="J31" i="3" s="1"/>
  <c r="G32" i="5"/>
  <c r="H32" i="5"/>
  <c r="F32" i="5"/>
  <c r="J33" i="5" s="1"/>
  <c r="F34" i="3"/>
  <c r="G34" i="3" s="1"/>
  <c r="G34" i="6" l="1"/>
  <c r="F34" i="6"/>
  <c r="P34" i="6" s="1"/>
  <c r="P33" i="6"/>
  <c r="J33" i="6"/>
  <c r="K33" i="6" s="1"/>
  <c r="M33" i="6" s="1"/>
  <c r="O33" i="6"/>
  <c r="H32" i="3"/>
  <c r="I32" i="3" s="1"/>
  <c r="J32" i="3" s="1"/>
  <c r="G33" i="5"/>
  <c r="H33" i="5"/>
  <c r="F33" i="5"/>
  <c r="J34" i="5" s="1"/>
  <c r="F35" i="3"/>
  <c r="G35" i="3" s="1"/>
  <c r="F35" i="6" l="1"/>
  <c r="G35" i="6"/>
  <c r="J34" i="6"/>
  <c r="K34" i="6" s="1"/>
  <c r="M34" i="6" s="1"/>
  <c r="O34" i="6"/>
  <c r="Q34" i="6" s="1"/>
  <c r="Q33" i="6"/>
  <c r="H33" i="3"/>
  <c r="I33" i="3" s="1"/>
  <c r="J33" i="3" s="1"/>
  <c r="G34" i="5"/>
  <c r="H34" i="5"/>
  <c r="F34" i="5"/>
  <c r="J35" i="5" s="1"/>
  <c r="F36" i="3"/>
  <c r="G36" i="3" s="1"/>
  <c r="J35" i="6" l="1"/>
  <c r="K35" i="6" s="1"/>
  <c r="M35" i="6" s="1"/>
  <c r="F36" i="6"/>
  <c r="P36" i="6" s="1"/>
  <c r="G36" i="6"/>
  <c r="P35" i="6"/>
  <c r="O35" i="6"/>
  <c r="H34" i="3"/>
  <c r="I34" i="3" s="1"/>
  <c r="J34" i="3"/>
  <c r="G35" i="5"/>
  <c r="H35" i="5"/>
  <c r="F35" i="5"/>
  <c r="J36" i="5" s="1"/>
  <c r="F37" i="3"/>
  <c r="G37" i="3" s="1"/>
  <c r="Q35" i="6" l="1"/>
  <c r="O36" i="6"/>
  <c r="Q36" i="6"/>
  <c r="J36" i="6"/>
  <c r="K36" i="6" s="1"/>
  <c r="M36" i="6" s="1"/>
  <c r="J37" i="6" s="1"/>
  <c r="G37" i="6"/>
  <c r="F37" i="6"/>
  <c r="O37" i="6" s="1"/>
  <c r="H35" i="3"/>
  <c r="I35" i="3" s="1"/>
  <c r="J35" i="3" s="1"/>
  <c r="G36" i="5"/>
  <c r="H36" i="5"/>
  <c r="F36" i="5"/>
  <c r="J37" i="5" s="1"/>
  <c r="F38" i="3"/>
  <c r="G38" i="3" s="1"/>
  <c r="K37" i="6" l="1"/>
  <c r="M37" i="6" s="1"/>
  <c r="J38" i="6" s="1"/>
  <c r="F38" i="6"/>
  <c r="O38" i="6" s="1"/>
  <c r="G38" i="6"/>
  <c r="P37" i="6"/>
  <c r="Q37" i="6" s="1"/>
  <c r="H36" i="3"/>
  <c r="I36" i="3" s="1"/>
  <c r="J36" i="3" s="1"/>
  <c r="G37" i="5"/>
  <c r="H37" i="5"/>
  <c r="F37" i="5"/>
  <c r="J38" i="5" s="1"/>
  <c r="F39" i="3"/>
  <c r="G39" i="3" s="1"/>
  <c r="K38" i="6" l="1"/>
  <c r="M38" i="6" s="1"/>
  <c r="F39" i="6"/>
  <c r="P39" i="6" s="1"/>
  <c r="J39" i="6"/>
  <c r="G39" i="6"/>
  <c r="P38" i="6"/>
  <c r="Q38" i="6" s="1"/>
  <c r="H37" i="3"/>
  <c r="I37" i="3" s="1"/>
  <c r="J37" i="3" s="1"/>
  <c r="G38" i="5"/>
  <c r="H38" i="5"/>
  <c r="F38" i="5"/>
  <c r="J39" i="5" s="1"/>
  <c r="F40" i="3"/>
  <c r="G40" i="3" s="1"/>
  <c r="K39" i="6" l="1"/>
  <c r="M39" i="6" s="1"/>
  <c r="O39" i="6"/>
  <c r="Q39" i="6" s="1"/>
  <c r="G40" i="6"/>
  <c r="F40" i="6"/>
  <c r="J40" i="6"/>
  <c r="H38" i="3"/>
  <c r="I38" i="3" s="1"/>
  <c r="J38" i="3"/>
  <c r="G39" i="5"/>
  <c r="H39" i="5"/>
  <c r="F39" i="5"/>
  <c r="J40" i="5" s="1"/>
  <c r="F41" i="3"/>
  <c r="G41" i="3" s="1"/>
  <c r="K40" i="6" l="1"/>
  <c r="M40" i="6" s="1"/>
  <c r="J41" i="6" s="1"/>
  <c r="F41" i="6"/>
  <c r="G41" i="6"/>
  <c r="P40" i="6"/>
  <c r="O40" i="6"/>
  <c r="H39" i="3"/>
  <c r="I39" i="3" s="1"/>
  <c r="J39" i="3" s="1"/>
  <c r="G40" i="5"/>
  <c r="H40" i="5"/>
  <c r="F40" i="5"/>
  <c r="J41" i="5" s="1"/>
  <c r="F42" i="3"/>
  <c r="G42" i="3" s="1"/>
  <c r="Q40" i="6" l="1"/>
  <c r="K41" i="6"/>
  <c r="M41" i="6" s="1"/>
  <c r="J42" i="6"/>
  <c r="F42" i="6"/>
  <c r="G42" i="6"/>
  <c r="P41" i="6"/>
  <c r="O41" i="6"/>
  <c r="Q41" i="6" s="1"/>
  <c r="H40" i="3"/>
  <c r="I40" i="3" s="1"/>
  <c r="J40" i="3"/>
  <c r="G41" i="5"/>
  <c r="H41" i="5"/>
  <c r="F41" i="5"/>
  <c r="J42" i="5" s="1"/>
  <c r="F43" i="3"/>
  <c r="G43" i="3" s="1"/>
  <c r="K42" i="6" l="1"/>
  <c r="M42" i="6" s="1"/>
  <c r="F43" i="6"/>
  <c r="G43" i="6"/>
  <c r="J43" i="6"/>
  <c r="O42" i="6"/>
  <c r="P42" i="6"/>
  <c r="H41" i="3"/>
  <c r="I41" i="3" s="1"/>
  <c r="J41" i="3" s="1"/>
  <c r="G42" i="5"/>
  <c r="H42" i="5"/>
  <c r="F42" i="5"/>
  <c r="J43" i="5" s="1"/>
  <c r="F44" i="3"/>
  <c r="G44" i="3" s="1"/>
  <c r="K43" i="6" l="1"/>
  <c r="M43" i="6" s="1"/>
  <c r="Q42" i="6"/>
  <c r="G44" i="6"/>
  <c r="F44" i="6"/>
  <c r="O44" i="6" s="1"/>
  <c r="J44" i="6"/>
  <c r="P43" i="6"/>
  <c r="O43" i="6"/>
  <c r="Q43" i="6" s="1"/>
  <c r="H42" i="3"/>
  <c r="I42" i="3" s="1"/>
  <c r="J42" i="3" s="1"/>
  <c r="G43" i="5"/>
  <c r="H43" i="5"/>
  <c r="F43" i="5"/>
  <c r="J44" i="5" s="1"/>
  <c r="F45" i="3"/>
  <c r="G45" i="3" s="1"/>
  <c r="P44" i="6" l="1"/>
  <c r="Q44" i="6" s="1"/>
  <c r="K44" i="6"/>
  <c r="M44" i="6" s="1"/>
  <c r="J45" i="6" s="1"/>
  <c r="G45" i="6"/>
  <c r="F45" i="6"/>
  <c r="H43" i="3"/>
  <c r="I43" i="3" s="1"/>
  <c r="J43" i="3" s="1"/>
  <c r="G44" i="5"/>
  <c r="H44" i="5"/>
  <c r="F44" i="5"/>
  <c r="J45" i="5" s="1"/>
  <c r="F46" i="3"/>
  <c r="G46" i="3" s="1"/>
  <c r="K45" i="6" l="1"/>
  <c r="M45" i="6" s="1"/>
  <c r="F46" i="6"/>
  <c r="G46" i="6"/>
  <c r="J46" i="6"/>
  <c r="K46" i="6" s="1"/>
  <c r="M46" i="6" s="1"/>
  <c r="P45" i="6"/>
  <c r="O45" i="6"/>
  <c r="H44" i="3"/>
  <c r="I44" i="3" s="1"/>
  <c r="J44" i="3"/>
  <c r="G45" i="5"/>
  <c r="H45" i="5"/>
  <c r="F45" i="5"/>
  <c r="J46" i="5" s="1"/>
  <c r="F47" i="3"/>
  <c r="G47" i="3" s="1"/>
  <c r="F47" i="6" l="1"/>
  <c r="J47" i="6"/>
  <c r="G47" i="6"/>
  <c r="O46" i="6"/>
  <c r="Q46" i="6" s="1"/>
  <c r="P46" i="6"/>
  <c r="Q45" i="6"/>
  <c r="H45" i="3"/>
  <c r="I45" i="3" s="1"/>
  <c r="J45" i="3"/>
  <c r="G46" i="5"/>
  <c r="H46" i="5"/>
  <c r="F46" i="5"/>
  <c r="J47" i="5" s="1"/>
  <c r="F48" i="3"/>
  <c r="G48" i="3" s="1"/>
  <c r="K47" i="6" l="1"/>
  <c r="M47" i="6" s="1"/>
  <c r="F48" i="6"/>
  <c r="J48" i="6"/>
  <c r="G48" i="6"/>
  <c r="O47" i="6"/>
  <c r="P47" i="6"/>
  <c r="H46" i="3"/>
  <c r="I46" i="3" s="1"/>
  <c r="J46" i="3" s="1"/>
  <c r="G47" i="5"/>
  <c r="H47" i="5"/>
  <c r="F47" i="5"/>
  <c r="J48" i="5" s="1"/>
  <c r="F49" i="3"/>
  <c r="G49" i="3" s="1"/>
  <c r="K48" i="6" l="1"/>
  <c r="M48" i="6" s="1"/>
  <c r="Q47" i="6"/>
  <c r="O49" i="6"/>
  <c r="P49" i="6"/>
  <c r="Q49" i="6" s="1"/>
  <c r="G49" i="6"/>
  <c r="F49" i="6"/>
  <c r="J49" i="6"/>
  <c r="P48" i="6"/>
  <c r="O48" i="6"/>
  <c r="H47" i="3"/>
  <c r="I47" i="3" s="1"/>
  <c r="J47" i="3" s="1"/>
  <c r="G48" i="5"/>
  <c r="H48" i="5"/>
  <c r="F48" i="5"/>
  <c r="J49" i="5" s="1"/>
  <c r="F50" i="3"/>
  <c r="G50" i="3" s="1"/>
  <c r="Q48" i="6" l="1"/>
  <c r="K49" i="6"/>
  <c r="M49" i="6" s="1"/>
  <c r="F50" i="6"/>
  <c r="G50" i="6"/>
  <c r="H48" i="3"/>
  <c r="I48" i="3" s="1"/>
  <c r="J48" i="3" s="1"/>
  <c r="G49" i="5"/>
  <c r="H49" i="5"/>
  <c r="F49" i="5"/>
  <c r="J50" i="5" s="1"/>
  <c r="F51" i="3"/>
  <c r="G51" i="3" s="1"/>
  <c r="F51" i="6" l="1"/>
  <c r="O51" i="6" s="1"/>
  <c r="G51" i="6"/>
  <c r="P50" i="6"/>
  <c r="O50" i="6"/>
  <c r="J50" i="6"/>
  <c r="K50" i="6" s="1"/>
  <c r="M50" i="6" s="1"/>
  <c r="J51" i="6" s="1"/>
  <c r="K51" i="6" s="1"/>
  <c r="M51" i="6" s="1"/>
  <c r="H49" i="3"/>
  <c r="I49" i="3" s="1"/>
  <c r="J49" i="3" s="1"/>
  <c r="G50" i="5"/>
  <c r="H50" i="5"/>
  <c r="F50" i="5"/>
  <c r="J51" i="5" s="1"/>
  <c r="F52" i="3"/>
  <c r="G52" i="3" s="1"/>
  <c r="P51" i="6" l="1"/>
  <c r="Q51" i="6" s="1"/>
  <c r="Q50" i="6"/>
  <c r="F52" i="6"/>
  <c r="J52" i="6"/>
  <c r="G52" i="6"/>
  <c r="H50" i="3"/>
  <c r="I50" i="3" s="1"/>
  <c r="J50" i="3" s="1"/>
  <c r="G51" i="5"/>
  <c r="H51" i="5"/>
  <c r="F51" i="5"/>
  <c r="J52" i="5" s="1"/>
  <c r="F53" i="3"/>
  <c r="G53" i="3" s="1"/>
  <c r="K52" i="6" l="1"/>
  <c r="M52" i="6" s="1"/>
  <c r="F53" i="6"/>
  <c r="P53" i="6" s="1"/>
  <c r="G53" i="6"/>
  <c r="J53" i="6"/>
  <c r="K53" i="6" s="1"/>
  <c r="M53" i="6" s="1"/>
  <c r="O52" i="6"/>
  <c r="P52" i="6"/>
  <c r="H51" i="3"/>
  <c r="I51" i="3" s="1"/>
  <c r="J51" i="3"/>
  <c r="G52" i="5"/>
  <c r="H52" i="5"/>
  <c r="F52" i="5"/>
  <c r="J53" i="5" s="1"/>
  <c r="F54" i="3"/>
  <c r="G54" i="3" s="1"/>
  <c r="Q52" i="6" l="1"/>
  <c r="O53" i="6"/>
  <c r="Q53" i="6" s="1"/>
  <c r="O54" i="6"/>
  <c r="Q54" i="6" s="1"/>
  <c r="J54" i="6"/>
  <c r="K54" i="6" s="1"/>
  <c r="M54" i="6" s="1"/>
  <c r="F54" i="6"/>
  <c r="P54" i="6" s="1"/>
  <c r="G54" i="6"/>
  <c r="H52" i="3"/>
  <c r="I52" i="3" s="1"/>
  <c r="J52" i="3" s="1"/>
  <c r="G53" i="5"/>
  <c r="H53" i="5"/>
  <c r="F53" i="5"/>
  <c r="J54" i="5" s="1"/>
  <c r="F55" i="3"/>
  <c r="G55" i="3" s="1"/>
  <c r="F55" i="6" l="1"/>
  <c r="P55" i="6" s="1"/>
  <c r="G55" i="6"/>
  <c r="J55" i="6"/>
  <c r="K55" i="6"/>
  <c r="M55" i="6" s="1"/>
  <c r="H53" i="3"/>
  <c r="I53" i="3" s="1"/>
  <c r="J53" i="3" s="1"/>
  <c r="G54" i="5"/>
  <c r="H54" i="5"/>
  <c r="F54" i="5"/>
  <c r="J55" i="5" s="1"/>
  <c r="F56" i="3"/>
  <c r="G56" i="3" s="1"/>
  <c r="O55" i="6" l="1"/>
  <c r="Q55" i="6" s="1"/>
  <c r="O56" i="6"/>
  <c r="P56" i="6"/>
  <c r="Q56" i="6"/>
  <c r="F56" i="6"/>
  <c r="G56" i="6"/>
  <c r="J56" i="6"/>
  <c r="K56" i="6" s="1"/>
  <c r="M56" i="6" s="1"/>
  <c r="H54" i="3"/>
  <c r="I54" i="3" s="1"/>
  <c r="J54" i="3" s="1"/>
  <c r="G55" i="5"/>
  <c r="H55" i="5"/>
  <c r="F55" i="5"/>
  <c r="J56" i="5" s="1"/>
  <c r="F57" i="3"/>
  <c r="G57" i="3" s="1"/>
  <c r="G57" i="6" l="1"/>
  <c r="J57" i="6"/>
  <c r="K57" i="6" s="1"/>
  <c r="M57" i="6" s="1"/>
  <c r="F57" i="6"/>
  <c r="O57" i="6" s="1"/>
  <c r="H55" i="3"/>
  <c r="I55" i="3" s="1"/>
  <c r="J55" i="3" s="1"/>
  <c r="G56" i="5"/>
  <c r="H56" i="5"/>
  <c r="F56" i="5"/>
  <c r="J57" i="5" s="1"/>
  <c r="F58" i="3"/>
  <c r="G58" i="3" s="1"/>
  <c r="P57" i="6" l="1"/>
  <c r="Q57" i="6" s="1"/>
  <c r="F58" i="6"/>
  <c r="O58" i="6" s="1"/>
  <c r="G58" i="6"/>
  <c r="J58" i="6"/>
  <c r="K58" i="6" s="1"/>
  <c r="M58" i="6" s="1"/>
  <c r="H56" i="3"/>
  <c r="I56" i="3" s="1"/>
  <c r="J56" i="3"/>
  <c r="G57" i="5"/>
  <c r="H57" i="5"/>
  <c r="F57" i="5"/>
  <c r="J58" i="5" s="1"/>
  <c r="F59" i="3"/>
  <c r="G59" i="3" s="1"/>
  <c r="P58" i="6" l="1"/>
  <c r="Q58" i="6" s="1"/>
  <c r="O59" i="6"/>
  <c r="P59" i="6"/>
  <c r="Q59" i="6" s="1"/>
  <c r="F59" i="6"/>
  <c r="J59" i="6"/>
  <c r="K59" i="6" s="1"/>
  <c r="M59" i="6" s="1"/>
  <c r="G59" i="6"/>
  <c r="H57" i="3"/>
  <c r="I57" i="3" s="1"/>
  <c r="J57" i="3"/>
  <c r="G58" i="5"/>
  <c r="H58" i="5"/>
  <c r="F58" i="5"/>
  <c r="J59" i="5" s="1"/>
  <c r="F60" i="3"/>
  <c r="G60" i="3" s="1"/>
  <c r="P60" i="6" l="1"/>
  <c r="O60" i="6"/>
  <c r="Q60" i="6" s="1"/>
  <c r="J60" i="6"/>
  <c r="G60" i="6"/>
  <c r="K60" i="6"/>
  <c r="M60" i="6" s="1"/>
  <c r="F60" i="6"/>
  <c r="H58" i="3"/>
  <c r="I58" i="3" s="1"/>
  <c r="J58" i="3"/>
  <c r="G59" i="5"/>
  <c r="H59" i="5"/>
  <c r="F59" i="5"/>
  <c r="J60" i="5" s="1"/>
  <c r="F61" i="3"/>
  <c r="G61" i="3" s="1"/>
  <c r="P61" i="6" l="1"/>
  <c r="G61" i="6"/>
  <c r="J61" i="6"/>
  <c r="K61" i="6" s="1"/>
  <c r="M61" i="6" s="1"/>
  <c r="F61" i="6"/>
  <c r="O61" i="6" s="1"/>
  <c r="Q61" i="6" s="1"/>
  <c r="H59" i="3"/>
  <c r="I59" i="3" s="1"/>
  <c r="J59" i="3"/>
  <c r="G60" i="5"/>
  <c r="H60" i="5"/>
  <c r="F60" i="5"/>
  <c r="J61" i="5" s="1"/>
  <c r="F62" i="3"/>
  <c r="G62" i="3" s="1"/>
  <c r="P62" i="6" l="1"/>
  <c r="G62" i="6"/>
  <c r="J62" i="6"/>
  <c r="K62" i="6"/>
  <c r="M62" i="6" s="1"/>
  <c r="F62" i="6"/>
  <c r="O62" i="6" s="1"/>
  <c r="Q62" i="6" s="1"/>
  <c r="H60" i="3"/>
  <c r="I60" i="3" s="1"/>
  <c r="J60" i="3"/>
  <c r="G61" i="5"/>
  <c r="H61" i="5"/>
  <c r="F61" i="5"/>
  <c r="J62" i="5" s="1"/>
  <c r="F63" i="3"/>
  <c r="G63" i="3" s="1"/>
  <c r="G63" i="6" l="1"/>
  <c r="J63" i="6"/>
  <c r="K63" i="6" s="1"/>
  <c r="M63" i="6" s="1"/>
  <c r="F63" i="6"/>
  <c r="P63" i="6" s="1"/>
  <c r="H61" i="3"/>
  <c r="I61" i="3" s="1"/>
  <c r="J61" i="3" s="1"/>
  <c r="G62" i="5"/>
  <c r="H62" i="5"/>
  <c r="F62" i="5"/>
  <c r="J63" i="5" s="1"/>
  <c r="G64" i="3"/>
  <c r="H64" i="3"/>
  <c r="I64" i="3"/>
  <c r="J64" i="3"/>
  <c r="F64" i="3"/>
  <c r="O63" i="6" l="1"/>
  <c r="Q63" i="6" s="1"/>
  <c r="J64" i="6"/>
  <c r="K64" i="6"/>
  <c r="G64" i="6"/>
  <c r="M64" i="6"/>
  <c r="F64" i="6"/>
  <c r="P64" i="6" s="1"/>
  <c r="H62" i="3"/>
  <c r="I62" i="3" s="1"/>
  <c r="J62" i="3"/>
  <c r="G63" i="5"/>
  <c r="H63" i="5"/>
  <c r="F63" i="5"/>
  <c r="J64" i="5" s="1"/>
  <c r="G65" i="3"/>
  <c r="H65" i="3"/>
  <c r="I65" i="3"/>
  <c r="J65" i="3"/>
  <c r="F65" i="3"/>
  <c r="O64" i="6" l="1"/>
  <c r="Q64" i="6" s="1"/>
  <c r="G65" i="6"/>
  <c r="F65" i="6"/>
  <c r="O65" i="6" s="1"/>
  <c r="J65" i="6"/>
  <c r="K65" i="6" s="1"/>
  <c r="M65" i="6" s="1"/>
  <c r="H63" i="3"/>
  <c r="I63" i="3" s="1"/>
  <c r="J63" i="3" s="1"/>
  <c r="G64" i="5"/>
  <c r="H64" i="5"/>
  <c r="F64" i="5"/>
  <c r="J65" i="5" s="1"/>
  <c r="G66" i="3"/>
  <c r="H66" i="3"/>
  <c r="I66" i="3"/>
  <c r="J66" i="3"/>
  <c r="F66" i="3"/>
  <c r="Q65" i="6" l="1"/>
  <c r="P65" i="6"/>
  <c r="O66" i="6"/>
  <c r="Q66" i="6" s="1"/>
  <c r="P66" i="6"/>
  <c r="J66" i="6"/>
  <c r="G66" i="6"/>
  <c r="F66" i="6"/>
  <c r="K66" i="6"/>
  <c r="M66" i="6" s="1"/>
  <c r="G65" i="5"/>
  <c r="H65" i="5"/>
  <c r="F65" i="5"/>
  <c r="J66" i="5" s="1"/>
  <c r="G67" i="3"/>
  <c r="H67" i="3"/>
  <c r="I67" i="3"/>
  <c r="J67" i="3"/>
  <c r="F67" i="3"/>
  <c r="F67" i="6" l="1"/>
  <c r="O67" i="6" s="1"/>
  <c r="G67" i="6"/>
  <c r="K67" i="6" s="1"/>
  <c r="M67" i="6" s="1"/>
  <c r="J67" i="6"/>
  <c r="G66" i="5"/>
  <c r="H66" i="5"/>
  <c r="F66" i="5"/>
  <c r="J67" i="5" s="1"/>
  <c r="G68" i="3"/>
  <c r="H68" i="3"/>
  <c r="I68" i="3"/>
  <c r="J68" i="3"/>
  <c r="F68" i="3"/>
  <c r="P67" i="6" l="1"/>
  <c r="Q67" i="6" s="1"/>
  <c r="P68" i="6"/>
  <c r="O68" i="6"/>
  <c r="Q68" i="6" s="1"/>
  <c r="F68" i="6"/>
  <c r="G68" i="6"/>
  <c r="J68" i="6"/>
  <c r="K68" i="6" s="1"/>
  <c r="M68" i="6" s="1"/>
  <c r="G67" i="5"/>
  <c r="H67" i="5"/>
  <c r="F67" i="5"/>
  <c r="J68" i="5" s="1"/>
  <c r="G69" i="3"/>
  <c r="H69" i="3"/>
  <c r="I69" i="3"/>
  <c r="J69" i="3"/>
  <c r="F69" i="3"/>
  <c r="O69" i="6" l="1"/>
  <c r="Q69" i="6" s="1"/>
  <c r="P69" i="6"/>
  <c r="J69" i="6"/>
  <c r="K69" i="6"/>
  <c r="M69" i="6" s="1"/>
  <c r="F69" i="6"/>
  <c r="G69" i="6"/>
  <c r="G68" i="5"/>
  <c r="H68" i="5"/>
  <c r="F68" i="5"/>
  <c r="J69" i="5" s="1"/>
  <c r="G70" i="3"/>
  <c r="H70" i="3"/>
  <c r="I70" i="3"/>
  <c r="J70" i="3"/>
  <c r="F70" i="3"/>
  <c r="O70" i="6" l="1"/>
  <c r="J70" i="6"/>
  <c r="K70" i="6" s="1"/>
  <c r="M70" i="6" s="1"/>
  <c r="G70" i="6"/>
  <c r="F70" i="6"/>
  <c r="P70" i="6" s="1"/>
  <c r="G69" i="5"/>
  <c r="H69" i="5"/>
  <c r="F69" i="5"/>
  <c r="J70" i="5" s="1"/>
  <c r="G71" i="3"/>
  <c r="H71" i="3"/>
  <c r="I71" i="3"/>
  <c r="J71" i="3"/>
  <c r="F71" i="3"/>
  <c r="Q70" i="6" l="1"/>
  <c r="G71" i="6"/>
  <c r="J71" i="6"/>
  <c r="K71" i="6" s="1"/>
  <c r="M71" i="6" s="1"/>
  <c r="F71" i="6"/>
  <c r="P71" i="6" s="1"/>
  <c r="G70" i="5"/>
  <c r="H70" i="5"/>
  <c r="F70" i="5"/>
  <c r="J71" i="5" s="1"/>
  <c r="G72" i="3"/>
  <c r="H72" i="3"/>
  <c r="I72" i="3"/>
  <c r="J72" i="3"/>
  <c r="F72" i="3"/>
  <c r="O71" i="6" l="1"/>
  <c r="Q71" i="6" s="1"/>
  <c r="G72" i="6"/>
  <c r="J72" i="6"/>
  <c r="K72" i="6" s="1"/>
  <c r="M72" i="6" s="1"/>
  <c r="F72" i="6"/>
  <c r="O72" i="6" s="1"/>
  <c r="G71" i="5"/>
  <c r="H71" i="5"/>
  <c r="F71" i="5"/>
  <c r="J72" i="5" s="1"/>
  <c r="G73" i="3"/>
  <c r="H73" i="3"/>
  <c r="I73" i="3"/>
  <c r="J73" i="3"/>
  <c r="F73" i="3"/>
  <c r="P72" i="6" l="1"/>
  <c r="Q72" i="6" s="1"/>
  <c r="O73" i="6"/>
  <c r="Q73" i="6" s="1"/>
  <c r="P73" i="6"/>
  <c r="F73" i="6"/>
  <c r="J73" i="6"/>
  <c r="G73" i="6"/>
  <c r="K73" i="6" s="1"/>
  <c r="M73" i="6" s="1"/>
  <c r="G72" i="5"/>
  <c r="H72" i="5"/>
  <c r="F72" i="5"/>
  <c r="J73" i="5" s="1"/>
  <c r="G74" i="3"/>
  <c r="H74" i="3"/>
  <c r="I74" i="3"/>
  <c r="J74" i="3"/>
  <c r="F74" i="3"/>
  <c r="F74" i="6" l="1"/>
  <c r="O74" i="6" s="1"/>
  <c r="G74" i="6"/>
  <c r="J74" i="6"/>
  <c r="G73" i="5"/>
  <c r="H73" i="5"/>
  <c r="F73" i="5"/>
  <c r="J74" i="5" s="1"/>
  <c r="G75" i="3"/>
  <c r="H75" i="3"/>
  <c r="I75" i="3"/>
  <c r="J75" i="3"/>
  <c r="F75" i="3"/>
  <c r="K74" i="6" l="1"/>
  <c r="M74" i="6" s="1"/>
  <c r="P74" i="6"/>
  <c r="Q74" i="6" s="1"/>
  <c r="O75" i="6"/>
  <c r="Q75" i="6" s="1"/>
  <c r="P75" i="6"/>
  <c r="J75" i="6"/>
  <c r="K75" i="6" s="1"/>
  <c r="M75" i="6" s="1"/>
  <c r="F75" i="6"/>
  <c r="G75" i="6"/>
  <c r="G74" i="5"/>
  <c r="H74" i="5"/>
  <c r="F74" i="5"/>
  <c r="J75" i="5" s="1"/>
  <c r="G76" i="3"/>
  <c r="H76" i="3"/>
  <c r="I76" i="3"/>
  <c r="J76" i="3"/>
  <c r="F76" i="3"/>
  <c r="G76" i="6" l="1"/>
  <c r="F76" i="6"/>
  <c r="O76" i="6" s="1"/>
  <c r="J76" i="6"/>
  <c r="K76" i="6" s="1"/>
  <c r="M76" i="6" s="1"/>
  <c r="G75" i="5"/>
  <c r="H75" i="5"/>
  <c r="F75" i="5"/>
  <c r="J76" i="5" s="1"/>
  <c r="G77" i="3"/>
  <c r="H77" i="3"/>
  <c r="I77" i="3"/>
  <c r="J77" i="3"/>
  <c r="F77" i="3"/>
  <c r="P76" i="6" l="1"/>
  <c r="Q76" i="6" s="1"/>
  <c r="O77" i="6"/>
  <c r="P77" i="6"/>
  <c r="Q77" i="6" s="1"/>
  <c r="F77" i="6"/>
  <c r="J77" i="6"/>
  <c r="G77" i="6"/>
  <c r="K77" i="6"/>
  <c r="M77" i="6" s="1"/>
  <c r="G76" i="5"/>
  <c r="H76" i="5"/>
  <c r="F76" i="5"/>
  <c r="J77" i="5" s="1"/>
  <c r="G78" i="3"/>
  <c r="H78" i="3"/>
  <c r="I78" i="3"/>
  <c r="J78" i="3"/>
  <c r="F78" i="3"/>
  <c r="P78" i="6" l="1"/>
  <c r="G78" i="6"/>
  <c r="K78" i="6"/>
  <c r="M78" i="6" s="1"/>
  <c r="F78" i="6"/>
  <c r="O78" i="6" s="1"/>
  <c r="Q78" i="6" s="1"/>
  <c r="J78" i="6"/>
  <c r="G77" i="5"/>
  <c r="H77" i="5"/>
  <c r="F77" i="5"/>
  <c r="J78" i="5" s="1"/>
  <c r="G79" i="3"/>
  <c r="H79" i="3"/>
  <c r="I79" i="3"/>
  <c r="J79" i="3"/>
  <c r="F79" i="3"/>
  <c r="F79" i="6" l="1"/>
  <c r="P79" i="6" s="1"/>
  <c r="G79" i="6"/>
  <c r="J79" i="6"/>
  <c r="K79" i="6" s="1"/>
  <c r="M79" i="6" s="1"/>
  <c r="G78" i="5"/>
  <c r="H78" i="5"/>
  <c r="F78" i="5"/>
  <c r="J79" i="5" s="1"/>
  <c r="G80" i="3"/>
  <c r="H80" i="3"/>
  <c r="I80" i="3"/>
  <c r="J80" i="3"/>
  <c r="F80" i="3"/>
  <c r="O79" i="6" l="1"/>
  <c r="Q79" i="6" s="1"/>
  <c r="O80" i="6"/>
  <c r="P80" i="6"/>
  <c r="Q80" i="6"/>
  <c r="J80" i="6"/>
  <c r="K80" i="6" s="1"/>
  <c r="M80" i="6" s="1"/>
  <c r="F80" i="6"/>
  <c r="G80" i="6"/>
  <c r="G79" i="5"/>
  <c r="H79" i="5"/>
  <c r="F79" i="5"/>
  <c r="J80" i="5" s="1"/>
  <c r="G81" i="3"/>
  <c r="H81" i="3"/>
  <c r="I81" i="3"/>
  <c r="J81" i="3"/>
  <c r="F81" i="3"/>
  <c r="F81" i="6" l="1"/>
  <c r="O81" i="6" s="1"/>
  <c r="J81" i="6"/>
  <c r="K81" i="6" s="1"/>
  <c r="M81" i="6" s="1"/>
  <c r="G81" i="6"/>
  <c r="G80" i="5"/>
  <c r="H80" i="5"/>
  <c r="F80" i="5"/>
  <c r="J81" i="5" s="1"/>
  <c r="G82" i="3"/>
  <c r="H82" i="3"/>
  <c r="I82" i="3"/>
  <c r="J82" i="3"/>
  <c r="F82" i="3"/>
  <c r="P81" i="6" l="1"/>
  <c r="Q81" i="6" s="1"/>
  <c r="P82" i="6"/>
  <c r="J82" i="6"/>
  <c r="F82" i="6"/>
  <c r="O82" i="6" s="1"/>
  <c r="Q82" i="6" s="1"/>
  <c r="G82" i="6"/>
  <c r="K82" i="6" s="1"/>
  <c r="M82" i="6" s="1"/>
  <c r="G81" i="5"/>
  <c r="H81" i="5"/>
  <c r="F81" i="5"/>
  <c r="J82" i="5" s="1"/>
  <c r="G83" i="3"/>
  <c r="H83" i="3"/>
  <c r="I83" i="3"/>
  <c r="J83" i="3"/>
  <c r="F83" i="3"/>
  <c r="G83" i="6" l="1"/>
  <c r="F83" i="6"/>
  <c r="O83" i="6" s="1"/>
  <c r="J83" i="6"/>
  <c r="K83" i="6" s="1"/>
  <c r="M83" i="6" s="1"/>
  <c r="G82" i="5"/>
  <c r="H82" i="5"/>
  <c r="F82" i="5"/>
  <c r="J83" i="5" s="1"/>
  <c r="G84" i="3"/>
  <c r="H84" i="3"/>
  <c r="I84" i="3"/>
  <c r="J84" i="3"/>
  <c r="F84" i="3"/>
  <c r="P83" i="6" l="1"/>
  <c r="Q83" i="6" s="1"/>
  <c r="F84" i="6"/>
  <c r="O84" i="6" s="1"/>
  <c r="G84" i="6"/>
  <c r="J84" i="6"/>
  <c r="K84" i="6"/>
  <c r="M84" i="6" s="1"/>
  <c r="G83" i="5"/>
  <c r="H83" i="5"/>
  <c r="F83" i="5"/>
  <c r="J84" i="5" s="1"/>
  <c r="G85" i="3"/>
  <c r="H85" i="3"/>
  <c r="I85" i="3"/>
  <c r="J85" i="3"/>
  <c r="F85" i="3"/>
  <c r="P84" i="6" l="1"/>
  <c r="Q84" i="6" s="1"/>
  <c r="G85" i="6"/>
  <c r="K85" i="6" s="1"/>
  <c r="M85" i="6" s="1"/>
  <c r="J85" i="6"/>
  <c r="F85" i="6"/>
  <c r="O85" i="6" s="1"/>
  <c r="G84" i="5"/>
  <c r="H84" i="5"/>
  <c r="F84" i="5"/>
  <c r="J85" i="5" s="1"/>
  <c r="G86" i="3"/>
  <c r="H86" i="3"/>
  <c r="I86" i="3"/>
  <c r="J86" i="3"/>
  <c r="F86" i="3"/>
  <c r="P85" i="6" l="1"/>
  <c r="Q85" i="6" s="1"/>
  <c r="O86" i="6"/>
  <c r="Q86" i="6" s="1"/>
  <c r="P86" i="6"/>
  <c r="G86" i="6"/>
  <c r="F86" i="6"/>
  <c r="J86" i="6"/>
  <c r="K86" i="6" s="1"/>
  <c r="M86" i="6" s="1"/>
  <c r="G85" i="5"/>
  <c r="H85" i="5"/>
  <c r="F85" i="5"/>
  <c r="J86" i="5" s="1"/>
  <c r="G87" i="3"/>
  <c r="H87" i="3"/>
  <c r="I87" i="3"/>
  <c r="J87" i="3"/>
  <c r="F87" i="3"/>
  <c r="J87" i="6" l="1"/>
  <c r="K87" i="6" s="1"/>
  <c r="M87" i="6" s="1"/>
  <c r="F87" i="6"/>
  <c r="P87" i="6" s="1"/>
  <c r="G87" i="6"/>
  <c r="G86" i="5"/>
  <c r="H86" i="5"/>
  <c r="F86" i="5"/>
  <c r="J87" i="5" s="1"/>
  <c r="G88" i="3"/>
  <c r="H88" i="3"/>
  <c r="I88" i="3"/>
  <c r="J88" i="3"/>
  <c r="F88" i="3"/>
  <c r="O87" i="6" l="1"/>
  <c r="Q87" i="6" s="1"/>
  <c r="G88" i="6"/>
  <c r="K88" i="6" s="1"/>
  <c r="M88" i="6" s="1"/>
  <c r="J88" i="6"/>
  <c r="F88" i="6"/>
  <c r="P88" i="6" s="1"/>
  <c r="G87" i="5"/>
  <c r="H87" i="5"/>
  <c r="F87" i="5"/>
  <c r="J88" i="5" s="1"/>
  <c r="G89" i="3"/>
  <c r="H89" i="3"/>
  <c r="I89" i="3"/>
  <c r="J89" i="3"/>
  <c r="F89" i="3"/>
  <c r="O88" i="6" l="1"/>
  <c r="Q88" i="6" s="1"/>
  <c r="O89" i="6"/>
  <c r="Q89" i="6" s="1"/>
  <c r="P89" i="6"/>
  <c r="K89" i="6"/>
  <c r="M89" i="6" s="1"/>
  <c r="J89" i="6"/>
  <c r="F89" i="6"/>
  <c r="G89" i="6"/>
  <c r="G88" i="5"/>
  <c r="H88" i="5"/>
  <c r="F88" i="5"/>
  <c r="J89" i="5" s="1"/>
  <c r="G90" i="3"/>
  <c r="H90" i="3"/>
  <c r="I90" i="3"/>
  <c r="J90" i="3"/>
  <c r="F90" i="3"/>
  <c r="F90" i="6" l="1"/>
  <c r="O90" i="6" s="1"/>
  <c r="G90" i="6"/>
  <c r="J90" i="6"/>
  <c r="K90" i="6" s="1"/>
  <c r="M90" i="6" s="1"/>
  <c r="G89" i="5"/>
  <c r="H89" i="5"/>
  <c r="F89" i="5"/>
  <c r="J90" i="5" s="1"/>
  <c r="G91" i="3"/>
  <c r="H91" i="3"/>
  <c r="I91" i="3"/>
  <c r="J91" i="3"/>
  <c r="F91" i="3"/>
  <c r="P90" i="6" l="1"/>
  <c r="Q90" i="6" s="1"/>
  <c r="G91" i="6"/>
  <c r="J91" i="6"/>
  <c r="K91" i="6" s="1"/>
  <c r="M91" i="6" s="1"/>
  <c r="F91" i="6"/>
  <c r="O91" i="6" s="1"/>
  <c r="G90" i="5"/>
  <c r="H90" i="5"/>
  <c r="F90" i="5"/>
  <c r="J91" i="5" s="1"/>
  <c r="G92" i="3"/>
  <c r="H92" i="3"/>
  <c r="I92" i="3"/>
  <c r="J92" i="3"/>
  <c r="F92" i="3"/>
  <c r="P91" i="6" l="1"/>
  <c r="Q91" i="6" s="1"/>
  <c r="G92" i="6"/>
  <c r="J92" i="6"/>
  <c r="K92" i="6" s="1"/>
  <c r="M92" i="6" s="1"/>
  <c r="F92" i="6"/>
  <c r="P92" i="6" s="1"/>
  <c r="G91" i="5"/>
  <c r="H91" i="5"/>
  <c r="F91" i="5"/>
  <c r="J92" i="5" s="1"/>
  <c r="G93" i="3"/>
  <c r="H93" i="3"/>
  <c r="I93" i="3"/>
  <c r="J93" i="3"/>
  <c r="F93" i="3"/>
  <c r="O92" i="6" l="1"/>
  <c r="Q92" i="6" s="1"/>
  <c r="J93" i="6"/>
  <c r="K93" i="6"/>
  <c r="M93" i="6" s="1"/>
  <c r="F93" i="6"/>
  <c r="O93" i="6" s="1"/>
  <c r="G93" i="6"/>
  <c r="G92" i="5"/>
  <c r="H92" i="5"/>
  <c r="F92" i="5"/>
  <c r="J93" i="5" s="1"/>
  <c r="G94" i="3"/>
  <c r="H94" i="3"/>
  <c r="I94" i="3"/>
  <c r="J94" i="3"/>
  <c r="F94" i="3"/>
  <c r="P93" i="6" l="1"/>
  <c r="Q93" i="6" s="1"/>
  <c r="O94" i="6"/>
  <c r="P94" i="6"/>
  <c r="Q94" i="6"/>
  <c r="F94" i="6"/>
  <c r="J94" i="6"/>
  <c r="G94" i="6"/>
  <c r="K94" i="6" s="1"/>
  <c r="M94" i="6" s="1"/>
  <c r="G93" i="5"/>
  <c r="H93" i="5"/>
  <c r="F93" i="5"/>
  <c r="J94" i="5" s="1"/>
  <c r="G95" i="3"/>
  <c r="H95" i="3"/>
  <c r="I95" i="3"/>
  <c r="J95" i="3"/>
  <c r="F95" i="3"/>
  <c r="J95" i="6" l="1"/>
  <c r="F95" i="6"/>
  <c r="O95" i="6" s="1"/>
  <c r="G95" i="6"/>
  <c r="G94" i="5"/>
  <c r="H94" i="5"/>
  <c r="F94" i="5"/>
  <c r="J95" i="5" s="1"/>
  <c r="G96" i="3"/>
  <c r="H96" i="3"/>
  <c r="I96" i="3"/>
  <c r="J96" i="3"/>
  <c r="F96" i="3"/>
  <c r="K95" i="6" l="1"/>
  <c r="M95" i="6" s="1"/>
  <c r="P95" i="6"/>
  <c r="Q95" i="6" s="1"/>
  <c r="P96" i="6"/>
  <c r="O96" i="6"/>
  <c r="Q96" i="6"/>
  <c r="G96" i="6"/>
  <c r="F96" i="6"/>
  <c r="J96" i="6"/>
  <c r="K96" i="6" s="1"/>
  <c r="M96" i="6" s="1"/>
  <c r="G95" i="5"/>
  <c r="H95" i="5"/>
  <c r="F95" i="5"/>
  <c r="J96" i="5" s="1"/>
  <c r="G97" i="3"/>
  <c r="H97" i="3"/>
  <c r="I97" i="3"/>
  <c r="J97" i="3"/>
  <c r="F97" i="3"/>
  <c r="P97" i="6" l="1"/>
  <c r="F97" i="6"/>
  <c r="O97" i="6" s="1"/>
  <c r="Q97" i="6" s="1"/>
  <c r="J97" i="6"/>
  <c r="G97" i="6"/>
  <c r="K97" i="6" s="1"/>
  <c r="M97" i="6" s="1"/>
  <c r="G96" i="5"/>
  <c r="H96" i="5"/>
  <c r="F96" i="5"/>
  <c r="J97" i="5" s="1"/>
  <c r="G98" i="3"/>
  <c r="H98" i="3"/>
  <c r="I98" i="3"/>
  <c r="J98" i="3"/>
  <c r="F98" i="3"/>
  <c r="J98" i="6" l="1"/>
  <c r="K98" i="6" s="1"/>
  <c r="M98" i="6" s="1"/>
  <c r="F98" i="6"/>
  <c r="O98" i="6" s="1"/>
  <c r="G98" i="6"/>
  <c r="G97" i="5"/>
  <c r="H97" i="5"/>
  <c r="F97" i="5"/>
  <c r="J98" i="5" s="1"/>
  <c r="G99" i="3"/>
  <c r="H99" i="3"/>
  <c r="I99" i="3"/>
  <c r="J99" i="3"/>
  <c r="F99" i="3"/>
  <c r="P98" i="6" l="1"/>
  <c r="Q98" i="6" s="1"/>
  <c r="L100" i="6"/>
  <c r="J99" i="6"/>
  <c r="K99" i="6" s="1"/>
  <c r="M99" i="6" s="1"/>
  <c r="G99" i="6"/>
  <c r="F99" i="6"/>
  <c r="O99" i="6" s="1"/>
  <c r="G98" i="5"/>
  <c r="H98" i="5"/>
  <c r="F98" i="5"/>
  <c r="J99" i="5" s="1"/>
  <c r="G100" i="3"/>
  <c r="H100" i="3"/>
  <c r="I100" i="3"/>
  <c r="J100" i="3"/>
  <c r="F100" i="3"/>
  <c r="P99" i="6" l="1"/>
  <c r="Q99" i="6" s="1"/>
  <c r="Q100" i="6"/>
  <c r="P100" i="6"/>
  <c r="O100" i="6"/>
  <c r="H100" i="6"/>
  <c r="J100" i="6"/>
  <c r="K100" i="6"/>
  <c r="L101" i="6"/>
  <c r="I100" i="6"/>
  <c r="N100" i="6"/>
  <c r="G100" i="6"/>
  <c r="M100" i="6"/>
  <c r="F100" i="6"/>
  <c r="G99" i="5"/>
  <c r="H99" i="5"/>
  <c r="F99" i="5"/>
  <c r="J100" i="5" s="1"/>
  <c r="G101" i="3"/>
  <c r="H101" i="3"/>
  <c r="I101" i="3"/>
  <c r="J101" i="3"/>
  <c r="F101" i="3"/>
  <c r="O101" i="6" l="1"/>
  <c r="P101" i="6"/>
  <c r="Q101" i="6"/>
  <c r="I101" i="6"/>
  <c r="J101" i="6"/>
  <c r="L102" i="6"/>
  <c r="H101" i="6"/>
  <c r="F101" i="6"/>
  <c r="G101" i="6"/>
  <c r="K101" i="6"/>
  <c r="M101" i="6"/>
  <c r="N101" i="6"/>
  <c r="G100" i="5"/>
  <c r="H100" i="5"/>
  <c r="F100" i="5"/>
  <c r="J101" i="5" s="1"/>
  <c r="G102" i="3"/>
  <c r="H102" i="3"/>
  <c r="I102" i="3"/>
  <c r="J102" i="3"/>
  <c r="F102" i="3"/>
  <c r="O102" i="6" l="1"/>
  <c r="P102" i="6"/>
  <c r="Q102" i="6"/>
  <c r="I102" i="6"/>
  <c r="J102" i="6"/>
  <c r="K102" i="6"/>
  <c r="L103" i="6"/>
  <c r="G102" i="6"/>
  <c r="M102" i="6"/>
  <c r="N102" i="6"/>
  <c r="H102" i="6"/>
  <c r="F102" i="6"/>
  <c r="G101" i="5"/>
  <c r="H101" i="5"/>
  <c r="F101" i="5"/>
  <c r="J102" i="5" s="1"/>
  <c r="G103" i="3"/>
  <c r="H103" i="3"/>
  <c r="I103" i="3"/>
  <c r="J103" i="3"/>
  <c r="F103" i="3"/>
  <c r="P103" i="6" l="1"/>
  <c r="O103" i="6"/>
  <c r="Q103" i="6"/>
  <c r="I103" i="6"/>
  <c r="J103" i="6"/>
  <c r="L104" i="6"/>
  <c r="N103" i="6"/>
  <c r="G103" i="6"/>
  <c r="H103" i="6"/>
  <c r="F103" i="6"/>
  <c r="K103" i="6"/>
  <c r="M103" i="6"/>
  <c r="G102" i="5"/>
  <c r="H102" i="5"/>
  <c r="F102" i="5"/>
  <c r="J103" i="5" s="1"/>
  <c r="G104" i="3"/>
  <c r="H104" i="3"/>
  <c r="I104" i="3"/>
  <c r="J104" i="3"/>
  <c r="F104" i="3"/>
  <c r="O104" i="6" l="1"/>
  <c r="P104" i="6"/>
  <c r="Q104" i="6"/>
  <c r="H104" i="6"/>
  <c r="I104" i="6"/>
  <c r="J104" i="6"/>
  <c r="K104" i="6"/>
  <c r="N104" i="6"/>
  <c r="L105" i="6"/>
  <c r="F104" i="6"/>
  <c r="M104" i="6"/>
  <c r="G104" i="6"/>
  <c r="G103" i="5"/>
  <c r="H103" i="5"/>
  <c r="F103" i="5"/>
  <c r="G105" i="3"/>
  <c r="H105" i="3"/>
  <c r="I105" i="3"/>
  <c r="J105" i="3"/>
  <c r="F105" i="3"/>
  <c r="Q105" i="6" l="1"/>
  <c r="O105" i="6"/>
  <c r="P105" i="6"/>
  <c r="J105" i="6"/>
  <c r="K105" i="6"/>
  <c r="M105" i="6"/>
  <c r="F105" i="6"/>
  <c r="L106" i="6"/>
  <c r="N105" i="6"/>
  <c r="G105" i="6"/>
  <c r="H105" i="6"/>
  <c r="I105" i="6"/>
  <c r="G104" i="5"/>
  <c r="F104" i="5"/>
  <c r="F105" i="5" s="1"/>
  <c r="G106" i="3"/>
  <c r="H106" i="3"/>
  <c r="I106" i="3"/>
  <c r="J106" i="3"/>
  <c r="F106" i="3"/>
  <c r="O106" i="6" l="1"/>
  <c r="P106" i="6"/>
  <c r="Q106" i="6"/>
  <c r="I106" i="6"/>
  <c r="J106" i="6"/>
  <c r="L107" i="6"/>
  <c r="N106" i="6"/>
  <c r="H106" i="6"/>
  <c r="M106" i="6"/>
  <c r="K106" i="6"/>
  <c r="F106" i="6"/>
  <c r="G106" i="6"/>
  <c r="G107" i="3"/>
  <c r="H107" i="3"/>
  <c r="I107" i="3"/>
  <c r="J107" i="3"/>
  <c r="F107" i="3"/>
  <c r="O107" i="6" l="1"/>
  <c r="P107" i="6"/>
  <c r="Q107" i="6"/>
  <c r="H107" i="6"/>
  <c r="K107" i="6"/>
  <c r="M107" i="6"/>
  <c r="F107" i="6"/>
  <c r="G107" i="6"/>
  <c r="I107" i="6"/>
  <c r="N107" i="6"/>
  <c r="L108" i="6"/>
  <c r="J107" i="6"/>
  <c r="G108" i="3"/>
  <c r="H108" i="3"/>
  <c r="I108" i="3"/>
  <c r="J108" i="3"/>
  <c r="F108" i="3"/>
  <c r="Q108" i="6" l="1"/>
  <c r="P108" i="6"/>
  <c r="O108" i="6"/>
  <c r="J108" i="6"/>
  <c r="K108" i="6"/>
  <c r="M108" i="6"/>
  <c r="I108" i="6"/>
  <c r="L109" i="6"/>
  <c r="N108" i="6"/>
  <c r="G108" i="6"/>
  <c r="F108" i="6"/>
  <c r="H108" i="6"/>
  <c r="G109" i="3"/>
  <c r="H109" i="3"/>
  <c r="I109" i="3"/>
  <c r="J109" i="3"/>
  <c r="F109" i="3"/>
  <c r="O109" i="6" l="1"/>
  <c r="P109" i="6"/>
  <c r="Q109" i="6"/>
  <c r="J109" i="6"/>
  <c r="K109" i="6"/>
  <c r="M109" i="6"/>
  <c r="H109" i="6"/>
  <c r="F109" i="6"/>
  <c r="G109" i="6"/>
  <c r="I109" i="6"/>
  <c r="L110" i="6"/>
  <c r="N109" i="6"/>
  <c r="G110" i="3"/>
  <c r="H110" i="3"/>
  <c r="I110" i="3"/>
  <c r="J110" i="3"/>
  <c r="F110" i="3"/>
  <c r="O110" i="6" l="1"/>
  <c r="P110" i="6"/>
  <c r="Q110" i="6"/>
  <c r="J110" i="6"/>
  <c r="K110" i="6"/>
  <c r="L111" i="6"/>
  <c r="M110" i="6"/>
  <c r="G110" i="6"/>
  <c r="I110" i="6"/>
  <c r="F110" i="6"/>
  <c r="H110" i="6"/>
  <c r="N110" i="6"/>
  <c r="G111" i="3"/>
  <c r="H111" i="3"/>
  <c r="I111" i="3"/>
  <c r="J111" i="3"/>
  <c r="F111" i="3"/>
  <c r="P111" i="6" l="1"/>
  <c r="Q111" i="6"/>
  <c r="O111" i="6"/>
  <c r="I111" i="6"/>
  <c r="J111" i="6"/>
  <c r="L112" i="6"/>
  <c r="F111" i="6"/>
  <c r="H111" i="6"/>
  <c r="K111" i="6"/>
  <c r="M111" i="6"/>
  <c r="N111" i="6"/>
  <c r="G111" i="6"/>
  <c r="G112" i="3"/>
  <c r="H112" i="3"/>
  <c r="I112" i="3"/>
  <c r="J112" i="3"/>
  <c r="F112" i="3"/>
  <c r="P112" i="6" l="1"/>
  <c r="O112" i="6"/>
  <c r="Q112" i="6"/>
  <c r="J112" i="6"/>
  <c r="I112" i="6"/>
  <c r="N112" i="6"/>
  <c r="H112" i="6"/>
  <c r="M112" i="6"/>
  <c r="L113" i="6"/>
  <c r="K112" i="6"/>
  <c r="F112" i="6"/>
  <c r="G112" i="6"/>
  <c r="G113" i="3"/>
  <c r="H113" i="3"/>
  <c r="I113" i="3"/>
  <c r="J113" i="3"/>
  <c r="F113" i="3"/>
  <c r="O113" i="6" l="1"/>
  <c r="P113" i="6"/>
  <c r="Q113" i="6"/>
  <c r="K113" i="6"/>
  <c r="L114" i="6"/>
  <c r="M113" i="6"/>
  <c r="G113" i="6"/>
  <c r="F113" i="6"/>
  <c r="I113" i="6"/>
  <c r="N113" i="6"/>
  <c r="H113" i="6"/>
  <c r="J113" i="6"/>
  <c r="G114" i="3"/>
  <c r="H114" i="3"/>
  <c r="I114" i="3"/>
  <c r="J114" i="3"/>
  <c r="F114" i="3"/>
  <c r="O114" i="6" l="1"/>
  <c r="P114" i="6"/>
  <c r="Q114" i="6"/>
  <c r="J114" i="6"/>
  <c r="M114" i="6"/>
  <c r="F114" i="6"/>
  <c r="G114" i="6"/>
  <c r="H114" i="6"/>
  <c r="I114" i="6"/>
  <c r="N114" i="6"/>
  <c r="K114" i="6"/>
  <c r="L115" i="6"/>
  <c r="G115" i="3"/>
  <c r="H115" i="3"/>
  <c r="I115" i="3"/>
  <c r="J115" i="3"/>
  <c r="F115" i="3"/>
  <c r="O115" i="6" l="1"/>
  <c r="P115" i="6"/>
  <c r="Q115" i="6"/>
  <c r="L116" i="6"/>
  <c r="I115" i="6"/>
  <c r="N115" i="6"/>
  <c r="F115" i="6"/>
  <c r="K115" i="6"/>
  <c r="J115" i="6"/>
  <c r="G115" i="6"/>
  <c r="M115" i="6"/>
  <c r="H115" i="6"/>
  <c r="G116" i="3"/>
  <c r="H116" i="3"/>
  <c r="I116" i="3"/>
  <c r="J116" i="3"/>
  <c r="F116" i="3"/>
  <c r="Q116" i="6" l="1"/>
  <c r="P116" i="6"/>
  <c r="O116" i="6"/>
  <c r="K116" i="6"/>
  <c r="M116" i="6"/>
  <c r="I116" i="6"/>
  <c r="N116" i="6"/>
  <c r="L117" i="6"/>
  <c r="G116" i="6"/>
  <c r="H116" i="6"/>
  <c r="F116" i="6"/>
  <c r="J116" i="6"/>
  <c r="G117" i="3"/>
  <c r="H117" i="3"/>
  <c r="I117" i="3"/>
  <c r="J117" i="3"/>
  <c r="F117" i="3"/>
  <c r="O117" i="6" l="1"/>
  <c r="P117" i="6"/>
  <c r="Q117" i="6"/>
  <c r="K117" i="6"/>
  <c r="L118" i="6"/>
  <c r="M117" i="6"/>
  <c r="N117" i="6"/>
  <c r="F117" i="6"/>
  <c r="G117" i="6"/>
  <c r="I117" i="6"/>
  <c r="J117" i="6"/>
  <c r="H117" i="6"/>
  <c r="G118" i="3"/>
  <c r="H118" i="3"/>
  <c r="I118" i="3"/>
  <c r="J118" i="3"/>
  <c r="F118" i="3"/>
  <c r="O118" i="6" l="1"/>
  <c r="P118" i="6"/>
  <c r="Q118" i="6"/>
  <c r="K118" i="6"/>
  <c r="L119" i="6"/>
  <c r="N118" i="6"/>
  <c r="G118" i="6"/>
  <c r="H118" i="6"/>
  <c r="J118" i="6"/>
  <c r="F118" i="6"/>
  <c r="I118" i="6"/>
  <c r="M118" i="6"/>
  <c r="G119" i="3"/>
  <c r="H119" i="3"/>
  <c r="I119" i="3"/>
  <c r="J119" i="3"/>
  <c r="F119" i="3"/>
  <c r="P119" i="6" l="1"/>
  <c r="Q119" i="6"/>
  <c r="O119" i="6"/>
  <c r="J119" i="6"/>
  <c r="K119" i="6"/>
  <c r="G119" i="6"/>
  <c r="I119" i="6"/>
  <c r="M119" i="6"/>
  <c r="F119" i="6"/>
  <c r="N119" i="6"/>
  <c r="H119" i="6"/>
  <c r="L120" i="6"/>
  <c r="G120" i="3"/>
  <c r="H120" i="3"/>
  <c r="I120" i="3"/>
  <c r="J120" i="3"/>
  <c r="F120" i="3"/>
  <c r="P120" i="6" l="1"/>
  <c r="O120" i="6"/>
  <c r="Q120" i="6"/>
  <c r="J120" i="6"/>
  <c r="K120" i="6"/>
  <c r="N120" i="6"/>
  <c r="F120" i="6"/>
  <c r="M120" i="6"/>
  <c r="H120" i="6"/>
  <c r="G120" i="6"/>
  <c r="L121" i="6"/>
  <c r="I120" i="6"/>
  <c r="G121" i="3"/>
  <c r="H121" i="3"/>
  <c r="I121" i="3"/>
  <c r="J121" i="3"/>
  <c r="F121" i="3"/>
  <c r="Q121" i="6" l="1"/>
  <c r="O121" i="6"/>
  <c r="P121" i="6"/>
  <c r="L122" i="6"/>
  <c r="M121" i="6"/>
  <c r="F121" i="6"/>
  <c r="H121" i="6"/>
  <c r="G121" i="6"/>
  <c r="J121" i="6"/>
  <c r="K121" i="6"/>
  <c r="N121" i="6"/>
  <c r="I121" i="6"/>
  <c r="G122" i="3"/>
  <c r="H122" i="3"/>
  <c r="I122" i="3"/>
  <c r="J122" i="3"/>
  <c r="F122" i="3"/>
  <c r="O122" i="6" l="1"/>
  <c r="P122" i="6"/>
  <c r="Q122" i="6"/>
  <c r="J122" i="6"/>
  <c r="M122" i="6"/>
  <c r="F122" i="6"/>
  <c r="K122" i="6"/>
  <c r="L123" i="6"/>
  <c r="N122" i="6"/>
  <c r="G122" i="6"/>
  <c r="I122" i="6"/>
  <c r="H122" i="6"/>
  <c r="G123" i="3"/>
  <c r="H123" i="3"/>
  <c r="I123" i="3"/>
  <c r="J123" i="3"/>
  <c r="F123" i="3"/>
  <c r="O123" i="6" l="1"/>
  <c r="P123" i="6"/>
  <c r="Q123" i="6"/>
  <c r="L124" i="6"/>
  <c r="M123" i="6"/>
  <c r="F123" i="6"/>
  <c r="N123" i="6"/>
  <c r="J123" i="6"/>
  <c r="H123" i="6"/>
  <c r="I123" i="6"/>
  <c r="G123" i="6"/>
  <c r="K123" i="6"/>
  <c r="G124" i="3"/>
  <c r="H124" i="3"/>
  <c r="I124" i="3"/>
  <c r="J124" i="3"/>
  <c r="F124" i="3"/>
  <c r="Q124" i="6" l="1"/>
  <c r="P124" i="6"/>
  <c r="O124" i="6"/>
  <c r="L125" i="6"/>
  <c r="M124" i="6"/>
  <c r="N124" i="6"/>
  <c r="F124" i="6"/>
  <c r="I124" i="6"/>
  <c r="K124" i="6"/>
  <c r="G124" i="6"/>
  <c r="H124" i="6"/>
  <c r="J124" i="6"/>
  <c r="G125" i="3"/>
  <c r="H125" i="3"/>
  <c r="I125" i="3"/>
  <c r="J125" i="3"/>
  <c r="F125" i="3"/>
  <c r="O125" i="6" l="1"/>
  <c r="P125" i="6"/>
  <c r="Q125" i="6"/>
  <c r="L126" i="6"/>
  <c r="M125" i="6"/>
  <c r="K125" i="6"/>
  <c r="N125" i="6"/>
  <c r="F125" i="6"/>
  <c r="G125" i="6"/>
  <c r="J125" i="6"/>
  <c r="H125" i="6"/>
  <c r="I125" i="6"/>
  <c r="G126" i="3"/>
  <c r="H126" i="3"/>
  <c r="I126" i="3"/>
  <c r="J126" i="3"/>
  <c r="F126" i="3"/>
  <c r="O126" i="6" l="1"/>
  <c r="P126" i="6"/>
  <c r="Q126" i="6"/>
  <c r="L127" i="6"/>
  <c r="M126" i="6"/>
  <c r="F126" i="6"/>
  <c r="G126" i="6"/>
  <c r="H126" i="6"/>
  <c r="I126" i="6"/>
  <c r="J126" i="6"/>
  <c r="K126" i="6"/>
  <c r="N126" i="6"/>
  <c r="G127" i="3"/>
  <c r="H127" i="3"/>
  <c r="I127" i="3"/>
  <c r="J127" i="3"/>
  <c r="F127" i="3"/>
  <c r="P127" i="6" l="1"/>
  <c r="Q127" i="6"/>
  <c r="O127" i="6"/>
  <c r="L128" i="6"/>
  <c r="K127" i="6"/>
  <c r="M127" i="6"/>
  <c r="G127" i="6"/>
  <c r="H127" i="6"/>
  <c r="I127" i="6"/>
  <c r="J127" i="6"/>
  <c r="F127" i="6"/>
  <c r="N127" i="6"/>
  <c r="G128" i="3"/>
  <c r="H128" i="3"/>
  <c r="I128" i="3"/>
  <c r="J128" i="3"/>
  <c r="F128" i="3"/>
  <c r="Q128" i="6" l="1"/>
  <c r="O128" i="6"/>
  <c r="P128" i="6"/>
  <c r="K128" i="6"/>
  <c r="F128" i="6"/>
  <c r="G128" i="6"/>
  <c r="H128" i="6"/>
  <c r="M128" i="6"/>
  <c r="N128" i="6"/>
  <c r="I128" i="6"/>
  <c r="J128" i="6"/>
  <c r="L129" i="6"/>
  <c r="G129" i="3"/>
  <c r="H129" i="3"/>
  <c r="I129" i="3"/>
  <c r="J129" i="3"/>
  <c r="F129" i="3"/>
  <c r="Q129" i="6" l="1"/>
  <c r="O129" i="6"/>
  <c r="P129" i="6"/>
  <c r="M129" i="6"/>
  <c r="N129" i="6"/>
  <c r="F129" i="6"/>
  <c r="G129" i="6"/>
  <c r="I129" i="6"/>
  <c r="H129" i="6"/>
  <c r="J129" i="6"/>
  <c r="L130" i="6"/>
  <c r="K129" i="6"/>
  <c r="G130" i="3"/>
  <c r="H130" i="3"/>
  <c r="I130" i="3"/>
  <c r="J130" i="3"/>
  <c r="F130" i="3"/>
  <c r="O130" i="6" l="1"/>
  <c r="P130" i="6"/>
  <c r="Q130" i="6"/>
  <c r="L131" i="6"/>
  <c r="F130" i="6"/>
  <c r="G130" i="6"/>
  <c r="H130" i="6"/>
  <c r="K130" i="6"/>
  <c r="N130" i="6"/>
  <c r="I130" i="6"/>
  <c r="J130" i="6"/>
  <c r="M130" i="6"/>
  <c r="G131" i="3"/>
  <c r="H131" i="3"/>
  <c r="I131" i="3"/>
  <c r="J131" i="3"/>
  <c r="F131" i="3"/>
  <c r="O131" i="6" l="1"/>
  <c r="P131" i="6"/>
  <c r="Q131" i="6"/>
  <c r="M131" i="6"/>
  <c r="F131" i="6"/>
  <c r="G131" i="6"/>
  <c r="H131" i="6"/>
  <c r="J131" i="6"/>
  <c r="N131" i="6"/>
  <c r="I131" i="6"/>
  <c r="K131" i="6"/>
  <c r="L132" i="6"/>
  <c r="G132" i="3"/>
  <c r="H132" i="3"/>
  <c r="I132" i="3"/>
  <c r="J132" i="3"/>
  <c r="F132" i="3"/>
  <c r="Q132" i="6" l="1"/>
  <c r="P132" i="6"/>
  <c r="O132" i="6"/>
  <c r="M132" i="6"/>
  <c r="F132" i="6"/>
  <c r="G132" i="6"/>
  <c r="J132" i="6"/>
  <c r="I132" i="6"/>
  <c r="K132" i="6"/>
  <c r="L133" i="6"/>
  <c r="H132" i="6"/>
  <c r="N132" i="6"/>
  <c r="G133" i="3"/>
  <c r="H133" i="3"/>
  <c r="I133" i="3"/>
  <c r="J133" i="3"/>
  <c r="F133" i="3"/>
  <c r="O133" i="6" l="1"/>
  <c r="Q133" i="6"/>
  <c r="P133" i="6"/>
  <c r="M133" i="6"/>
  <c r="F133" i="6"/>
  <c r="I133" i="6"/>
  <c r="J133" i="6"/>
  <c r="L134" i="6"/>
  <c r="H133" i="6"/>
  <c r="G133" i="6"/>
  <c r="N133" i="6"/>
  <c r="K133" i="6"/>
  <c r="G134" i="3"/>
  <c r="H134" i="3"/>
  <c r="I134" i="3"/>
  <c r="J134" i="3"/>
  <c r="F134" i="3"/>
  <c r="O134" i="6" l="1"/>
  <c r="P134" i="6"/>
  <c r="Q134" i="6"/>
  <c r="L135" i="6"/>
  <c r="I134" i="6"/>
  <c r="G134" i="6"/>
  <c r="J134" i="6"/>
  <c r="K134" i="6"/>
  <c r="F134" i="6"/>
  <c r="H134" i="6"/>
  <c r="M134" i="6"/>
  <c r="N134" i="6"/>
  <c r="G135" i="3"/>
  <c r="H135" i="3"/>
  <c r="I135" i="3"/>
  <c r="J135" i="3"/>
  <c r="F135" i="3"/>
  <c r="P135" i="6" l="1"/>
  <c r="Q135" i="6"/>
  <c r="O135" i="6"/>
  <c r="L136" i="6"/>
  <c r="H135" i="6"/>
  <c r="M135" i="6"/>
  <c r="G135" i="6"/>
  <c r="F135" i="6"/>
  <c r="N135" i="6"/>
  <c r="K135" i="6"/>
  <c r="I135" i="6"/>
  <c r="J135" i="6"/>
  <c r="G136" i="3"/>
  <c r="H136" i="3"/>
  <c r="I136" i="3"/>
  <c r="J136" i="3"/>
  <c r="F136" i="3"/>
  <c r="P136" i="6" l="1"/>
  <c r="O136" i="6"/>
  <c r="Q136" i="6"/>
  <c r="N136" i="6"/>
  <c r="I136" i="6"/>
  <c r="L137" i="6"/>
  <c r="G136" i="6"/>
  <c r="F136" i="6"/>
  <c r="M136" i="6"/>
  <c r="J136" i="6"/>
  <c r="K136" i="6"/>
  <c r="H136" i="6"/>
  <c r="G137" i="3"/>
  <c r="H137" i="3"/>
  <c r="I137" i="3"/>
  <c r="J137" i="3"/>
  <c r="F137" i="3"/>
  <c r="O137" i="6" l="1"/>
  <c r="Q137" i="6"/>
  <c r="P137" i="6"/>
  <c r="N137" i="6"/>
  <c r="G137" i="6"/>
  <c r="F137" i="6"/>
  <c r="H137" i="6"/>
  <c r="I137" i="6"/>
  <c r="K137" i="6"/>
  <c r="M137" i="6"/>
  <c r="L138" i="6"/>
  <c r="J137" i="6"/>
  <c r="G138" i="3"/>
  <c r="H138" i="3"/>
  <c r="I138" i="3"/>
  <c r="J138" i="3"/>
  <c r="F138" i="3"/>
  <c r="O138" i="6" l="1"/>
  <c r="P138" i="6"/>
  <c r="Q138" i="6"/>
  <c r="N138" i="6"/>
  <c r="G138" i="6"/>
  <c r="I138" i="6"/>
  <c r="F138" i="6"/>
  <c r="H138" i="6"/>
  <c r="L139" i="6"/>
  <c r="M138" i="6"/>
  <c r="K138" i="6"/>
  <c r="J138" i="6"/>
  <c r="G139" i="3"/>
  <c r="H139" i="3"/>
  <c r="I139" i="3"/>
  <c r="J139" i="3"/>
  <c r="F139" i="3"/>
  <c r="O139" i="6" l="1"/>
  <c r="P139" i="6"/>
  <c r="Q139" i="6"/>
  <c r="M139" i="6"/>
  <c r="J139" i="6"/>
  <c r="G139" i="6"/>
  <c r="F139" i="6"/>
  <c r="H139" i="6"/>
  <c r="I139" i="6"/>
  <c r="L140" i="6"/>
  <c r="N139" i="6"/>
  <c r="K139" i="6"/>
  <c r="G140" i="3"/>
  <c r="H140" i="3"/>
  <c r="I140" i="3"/>
  <c r="J140" i="3"/>
  <c r="F140" i="3"/>
  <c r="Q140" i="6" l="1"/>
  <c r="P140" i="6"/>
  <c r="O140" i="6"/>
  <c r="N140" i="6"/>
  <c r="J140" i="6"/>
  <c r="G140" i="6"/>
  <c r="F140" i="6"/>
  <c r="K140" i="6"/>
  <c r="H140" i="6"/>
  <c r="I140" i="6"/>
  <c r="L141" i="6"/>
  <c r="M140" i="6"/>
  <c r="G141" i="3"/>
  <c r="H141" i="3"/>
  <c r="I141" i="3"/>
  <c r="J141" i="3"/>
  <c r="F141" i="3"/>
  <c r="O141" i="6" l="1"/>
  <c r="P141" i="6"/>
  <c r="Q141" i="6"/>
  <c r="N141" i="6"/>
  <c r="G141" i="6"/>
  <c r="F141" i="6"/>
  <c r="K141" i="6"/>
  <c r="L142" i="6"/>
  <c r="M141" i="6"/>
  <c r="H141" i="6"/>
  <c r="I141" i="6"/>
  <c r="J141" i="6"/>
  <c r="G142" i="3"/>
  <c r="H142" i="3"/>
  <c r="I142" i="3"/>
  <c r="J142" i="3"/>
  <c r="F142" i="3"/>
  <c r="O142" i="6" l="1"/>
  <c r="P142" i="6"/>
  <c r="Q142" i="6"/>
  <c r="M142" i="6"/>
  <c r="F142" i="6"/>
  <c r="H142" i="6"/>
  <c r="I142" i="6"/>
  <c r="G142" i="6"/>
  <c r="J142" i="6"/>
  <c r="K142" i="6"/>
  <c r="L143" i="6"/>
  <c r="N142" i="6"/>
  <c r="G143" i="3"/>
  <c r="H143" i="3"/>
  <c r="I143" i="3"/>
  <c r="J143" i="3"/>
  <c r="F143" i="3"/>
  <c r="P143" i="6" l="1"/>
  <c r="Q143" i="6"/>
  <c r="O143" i="6"/>
  <c r="M143" i="6"/>
  <c r="H143" i="6"/>
  <c r="F143" i="6"/>
  <c r="L144" i="6"/>
  <c r="I143" i="6"/>
  <c r="G143" i="6"/>
  <c r="N143" i="6"/>
  <c r="K143" i="6"/>
  <c r="J143" i="6"/>
  <c r="G144" i="3"/>
  <c r="H144" i="3"/>
  <c r="I144" i="3"/>
  <c r="J144" i="3"/>
  <c r="F144" i="3"/>
  <c r="P144" i="6" l="1"/>
  <c r="Q144" i="6"/>
  <c r="O144" i="6"/>
  <c r="F144" i="6"/>
  <c r="I144" i="6"/>
  <c r="J144" i="6"/>
  <c r="L145" i="6"/>
  <c r="K144" i="6"/>
  <c r="G144" i="6"/>
  <c r="H144" i="6"/>
  <c r="M144" i="6"/>
  <c r="N144" i="6"/>
  <c r="G145" i="3"/>
  <c r="H145" i="3"/>
  <c r="I145" i="3"/>
  <c r="J145" i="3"/>
  <c r="F145" i="3"/>
  <c r="O145" i="6" l="1"/>
  <c r="Q145" i="6"/>
  <c r="P145" i="6"/>
  <c r="N145" i="6"/>
  <c r="K145" i="6"/>
  <c r="G145" i="6"/>
  <c r="M145" i="6"/>
  <c r="H145" i="6"/>
  <c r="I145" i="6"/>
  <c r="J145" i="6"/>
  <c r="L146" i="6"/>
  <c r="F145" i="6"/>
  <c r="G146" i="3"/>
  <c r="H146" i="3"/>
  <c r="I146" i="3"/>
  <c r="J146" i="3"/>
  <c r="F146" i="3"/>
  <c r="O146" i="6" l="1"/>
  <c r="P146" i="6"/>
  <c r="Q146" i="6"/>
  <c r="F146" i="6"/>
  <c r="G146" i="6"/>
  <c r="I146" i="6"/>
  <c r="L147" i="6"/>
  <c r="M146" i="6"/>
  <c r="H146" i="6"/>
  <c r="K146" i="6"/>
  <c r="J146" i="6"/>
  <c r="N146" i="6"/>
  <c r="G147" i="3"/>
  <c r="H147" i="3"/>
  <c r="I147" i="3"/>
  <c r="J147" i="3"/>
  <c r="F147" i="3"/>
  <c r="O147" i="6" l="1"/>
  <c r="P147" i="6"/>
  <c r="Q147" i="6"/>
  <c r="F147" i="6"/>
  <c r="H147" i="6"/>
  <c r="I147" i="6"/>
  <c r="J147" i="6"/>
  <c r="M147" i="6"/>
  <c r="N147" i="6"/>
  <c r="K147" i="6"/>
  <c r="G147" i="6"/>
  <c r="L148" i="6"/>
  <c r="G148" i="3"/>
  <c r="H148" i="3"/>
  <c r="I148" i="3"/>
  <c r="J148" i="3"/>
  <c r="F148" i="3"/>
  <c r="Q148" i="6" l="1"/>
  <c r="O148" i="6"/>
  <c r="P148" i="6"/>
  <c r="F148" i="6"/>
  <c r="G148" i="6"/>
  <c r="H148" i="6"/>
  <c r="N148" i="6"/>
  <c r="J148" i="6"/>
  <c r="I148" i="6"/>
  <c r="K148" i="6"/>
  <c r="L149" i="6"/>
  <c r="M148" i="6"/>
  <c r="G149" i="3"/>
  <c r="H149" i="3"/>
  <c r="I149" i="3"/>
  <c r="J149" i="3"/>
  <c r="F149" i="3"/>
  <c r="O149" i="6" l="1"/>
  <c r="Q149" i="6"/>
  <c r="P149" i="6"/>
  <c r="F149" i="6"/>
  <c r="H149" i="6"/>
  <c r="G149" i="6"/>
  <c r="N149" i="6"/>
  <c r="I149" i="6"/>
  <c r="J149" i="6"/>
  <c r="K149" i="6"/>
  <c r="M149" i="6"/>
  <c r="L150" i="6"/>
  <c r="G150" i="3"/>
  <c r="H150" i="3"/>
  <c r="I150" i="3"/>
  <c r="J150" i="3"/>
  <c r="F150" i="3"/>
  <c r="P150" i="6" l="1"/>
  <c r="O150" i="6"/>
  <c r="Q150" i="6"/>
  <c r="F150" i="6"/>
  <c r="H150" i="6"/>
  <c r="J150" i="6"/>
  <c r="G150" i="6"/>
  <c r="K150" i="6"/>
  <c r="L151" i="6"/>
  <c r="N150" i="6"/>
  <c r="I150" i="6"/>
  <c r="M150" i="6"/>
  <c r="G151" i="3"/>
  <c r="H151" i="3"/>
  <c r="I151" i="3"/>
  <c r="J151" i="3"/>
  <c r="F151" i="3"/>
  <c r="P151" i="6" l="1"/>
  <c r="Q151" i="6"/>
  <c r="O151" i="6"/>
  <c r="G151" i="6"/>
  <c r="I151" i="6"/>
  <c r="K151" i="6"/>
  <c r="N151" i="6"/>
  <c r="M151" i="6"/>
  <c r="F151" i="6"/>
  <c r="H151" i="6"/>
  <c r="J151" i="6"/>
  <c r="L152" i="6"/>
  <c r="G152" i="3"/>
  <c r="H152" i="3"/>
  <c r="I152" i="3"/>
  <c r="J152" i="3"/>
  <c r="F152" i="3"/>
  <c r="P152" i="6" l="1"/>
  <c r="O152" i="6"/>
  <c r="Q152" i="6"/>
  <c r="F152" i="6"/>
  <c r="M152" i="6"/>
  <c r="K152" i="6"/>
  <c r="L153" i="6"/>
  <c r="N152" i="6"/>
  <c r="H152" i="6"/>
  <c r="I152" i="6"/>
  <c r="J152" i="6"/>
  <c r="G152" i="6"/>
  <c r="G153" i="3"/>
  <c r="H153" i="3"/>
  <c r="I153" i="3"/>
  <c r="J153" i="3"/>
  <c r="F153" i="3"/>
  <c r="Q153" i="6" l="1"/>
  <c r="O153" i="6"/>
  <c r="P153" i="6"/>
  <c r="I153" i="6"/>
  <c r="N153" i="6"/>
  <c r="J153" i="6"/>
  <c r="L154" i="6"/>
  <c r="M153" i="6"/>
  <c r="H153" i="6"/>
  <c r="F153" i="6"/>
  <c r="G153" i="6"/>
  <c r="K153" i="6"/>
  <c r="G154" i="3"/>
  <c r="H154" i="3"/>
  <c r="I154" i="3"/>
  <c r="J154" i="3"/>
  <c r="F154" i="3"/>
  <c r="O154" i="6" l="1"/>
  <c r="P154" i="6"/>
  <c r="Q154" i="6"/>
  <c r="G154" i="6"/>
  <c r="L155" i="6"/>
  <c r="K154" i="6"/>
  <c r="M154" i="6"/>
  <c r="J154" i="6"/>
  <c r="N154" i="6"/>
  <c r="F154" i="6"/>
  <c r="H154" i="6"/>
  <c r="I154" i="6"/>
  <c r="G155" i="3"/>
  <c r="H155" i="3"/>
  <c r="I155" i="3"/>
  <c r="J155" i="3"/>
  <c r="F155" i="3"/>
  <c r="Q155" i="6" l="1"/>
  <c r="P155" i="6"/>
  <c r="O155" i="6"/>
  <c r="G155" i="6"/>
  <c r="I155" i="6"/>
  <c r="L156" i="6"/>
  <c r="J155" i="6"/>
  <c r="H155" i="6"/>
  <c r="F155" i="6"/>
  <c r="K155" i="6"/>
  <c r="M155" i="6"/>
  <c r="N155" i="6"/>
  <c r="G156" i="3"/>
  <c r="H156" i="3"/>
  <c r="I156" i="3"/>
  <c r="J156" i="3"/>
  <c r="F156" i="3"/>
  <c r="Q156" i="6" l="1"/>
  <c r="P156" i="6"/>
  <c r="O156" i="6"/>
  <c r="G156" i="6"/>
  <c r="L157" i="6"/>
  <c r="J156" i="6"/>
  <c r="I156" i="6"/>
  <c r="F156" i="6"/>
  <c r="K156" i="6"/>
  <c r="N156" i="6"/>
  <c r="H156" i="6"/>
  <c r="M156" i="6"/>
  <c r="G157" i="3"/>
  <c r="H157" i="3"/>
  <c r="I157" i="3"/>
  <c r="J157" i="3"/>
  <c r="F157" i="3"/>
  <c r="O157" i="6" l="1"/>
  <c r="Q157" i="6"/>
  <c r="P157" i="6"/>
  <c r="F157" i="6"/>
  <c r="J157" i="6"/>
  <c r="K157" i="6"/>
  <c r="L158" i="6"/>
  <c r="M157" i="6"/>
  <c r="H157" i="6"/>
  <c r="I157" i="6"/>
  <c r="N157" i="6"/>
  <c r="G157" i="6"/>
  <c r="G158" i="3"/>
  <c r="H158" i="3"/>
  <c r="I158" i="3"/>
  <c r="J158" i="3"/>
  <c r="F158" i="3"/>
  <c r="O158" i="6" l="1"/>
  <c r="Q158" i="6"/>
  <c r="P158" i="6"/>
  <c r="H158" i="6"/>
  <c r="M158" i="6"/>
  <c r="L159" i="6"/>
  <c r="I158" i="6"/>
  <c r="J158" i="6"/>
  <c r="G158" i="6"/>
  <c r="K158" i="6"/>
  <c r="N158" i="6"/>
  <c r="F158" i="6"/>
  <c r="G159" i="3"/>
  <c r="H159" i="3"/>
  <c r="I159" i="3"/>
  <c r="J159" i="3"/>
  <c r="F159" i="3"/>
  <c r="P159" i="6" l="1"/>
  <c r="Q159" i="6"/>
  <c r="O159" i="6"/>
  <c r="H159" i="6"/>
  <c r="J159" i="6"/>
  <c r="K159" i="6"/>
  <c r="F159" i="6"/>
  <c r="N159" i="6"/>
  <c r="M159" i="6"/>
  <c r="L160" i="6"/>
  <c r="I159" i="6"/>
  <c r="G159" i="6"/>
  <c r="G160" i="3"/>
  <c r="H160" i="3"/>
  <c r="I160" i="3"/>
  <c r="J160" i="3"/>
  <c r="F160" i="3"/>
  <c r="O160" i="6" l="1"/>
  <c r="O1" i="6" s="1"/>
  <c r="P160" i="6"/>
  <c r="P1" i="6" s="1"/>
  <c r="Q160" i="6"/>
  <c r="G160" i="6"/>
  <c r="G1" i="6" s="1"/>
  <c r="I160" i="6"/>
  <c r="J160" i="6"/>
  <c r="J1" i="6" s="1"/>
  <c r="K160" i="6"/>
  <c r="K1" i="6" s="1"/>
  <c r="N160" i="6"/>
  <c r="M160" i="6"/>
  <c r="M1" i="6" s="1"/>
  <c r="F160" i="6"/>
  <c r="H160" i="6"/>
  <c r="G161" i="3"/>
  <c r="H161" i="3"/>
  <c r="I161" i="3"/>
  <c r="J161" i="3"/>
  <c r="F161" i="3"/>
  <c r="Q1" i="6" l="1"/>
  <c r="C9" i="6" s="1"/>
  <c r="G162" i="3"/>
  <c r="H162" i="3"/>
  <c r="I162" i="3"/>
  <c r="J162" i="3"/>
  <c r="F162" i="3"/>
  <c r="H54" i="6" l="1"/>
  <c r="I54" i="6" s="1"/>
  <c r="H55" i="6"/>
  <c r="I55" i="6" s="1"/>
  <c r="H56" i="6"/>
  <c r="I56" i="6" s="1"/>
  <c r="H57" i="6"/>
  <c r="I57" i="6" s="1"/>
  <c r="H58" i="6"/>
  <c r="I58" i="6" s="1"/>
  <c r="H59" i="6"/>
  <c r="I59" i="6" s="1"/>
  <c r="H60" i="6"/>
  <c r="I60" i="6" s="1"/>
  <c r="H61" i="6"/>
  <c r="I61" i="6" s="1"/>
  <c r="H62" i="6"/>
  <c r="I62" i="6" s="1"/>
  <c r="H63" i="6"/>
  <c r="I63" i="6" s="1"/>
  <c r="H64" i="6"/>
  <c r="I64" i="6" s="1"/>
  <c r="H65" i="6"/>
  <c r="I65" i="6" s="1"/>
  <c r="H66" i="6"/>
  <c r="I66" i="6" s="1"/>
  <c r="H67" i="6"/>
  <c r="I67" i="6" s="1"/>
  <c r="H68" i="6"/>
  <c r="I68" i="6" s="1"/>
  <c r="H69" i="6"/>
  <c r="I69" i="6" s="1"/>
  <c r="H70" i="6"/>
  <c r="I70" i="6" s="1"/>
  <c r="H71" i="6"/>
  <c r="I71" i="6" s="1"/>
  <c r="H72" i="6"/>
  <c r="I72" i="6" s="1"/>
  <c r="H73" i="6"/>
  <c r="I73" i="6" s="1"/>
  <c r="H74" i="6"/>
  <c r="I74" i="6" s="1"/>
  <c r="H75" i="6"/>
  <c r="I75" i="6" s="1"/>
  <c r="H76" i="6"/>
  <c r="I76" i="6" s="1"/>
  <c r="H77" i="6"/>
  <c r="I77" i="6" s="1"/>
  <c r="H78" i="6"/>
  <c r="I78" i="6" s="1"/>
  <c r="H79" i="6"/>
  <c r="I79" i="6" s="1"/>
  <c r="H80" i="6"/>
  <c r="I80" i="6" s="1"/>
  <c r="H81" i="6"/>
  <c r="I81" i="6" s="1"/>
  <c r="H82" i="6"/>
  <c r="I82" i="6" s="1"/>
  <c r="H83" i="6"/>
  <c r="I83" i="6" s="1"/>
  <c r="H84" i="6"/>
  <c r="I84" i="6" s="1"/>
  <c r="H85" i="6"/>
  <c r="I85" i="6" s="1"/>
  <c r="H86" i="6"/>
  <c r="I86" i="6" s="1"/>
  <c r="H87" i="6"/>
  <c r="I87" i="6" s="1"/>
  <c r="H88" i="6"/>
  <c r="I88" i="6" s="1"/>
  <c r="H89" i="6"/>
  <c r="I89" i="6" s="1"/>
  <c r="H90" i="6"/>
  <c r="I90" i="6" s="1"/>
  <c r="H91" i="6"/>
  <c r="I91" i="6" s="1"/>
  <c r="H92" i="6"/>
  <c r="I92" i="6" s="1"/>
  <c r="H93" i="6"/>
  <c r="I93" i="6" s="1"/>
  <c r="H94" i="6"/>
  <c r="I94" i="6" s="1"/>
  <c r="H95" i="6"/>
  <c r="I95" i="6" s="1"/>
  <c r="H96" i="6"/>
  <c r="I96" i="6" s="1"/>
  <c r="H97" i="6"/>
  <c r="I97" i="6" s="1"/>
  <c r="H98" i="6"/>
  <c r="I98" i="6" s="1"/>
  <c r="H99" i="6"/>
  <c r="I99" i="6" s="1"/>
  <c r="H11" i="6"/>
  <c r="I11" i="6" s="1"/>
  <c r="H12" i="6"/>
  <c r="I12" i="6" s="1"/>
  <c r="H26" i="6"/>
  <c r="I26" i="6" s="1"/>
  <c r="H34" i="6"/>
  <c r="I34" i="6" s="1"/>
  <c r="H42" i="6"/>
  <c r="I42" i="6" s="1"/>
  <c r="H50" i="6"/>
  <c r="I50" i="6" s="1"/>
  <c r="H29" i="6"/>
  <c r="I29" i="6" s="1"/>
  <c r="H53" i="6"/>
  <c r="I53" i="6" s="1"/>
  <c r="H38" i="6"/>
  <c r="I38" i="6" s="1"/>
  <c r="H23" i="6"/>
  <c r="I23" i="6" s="1"/>
  <c r="H10" i="6"/>
  <c r="I10" i="6" s="1"/>
  <c r="H48" i="6"/>
  <c r="I48" i="6" s="1"/>
  <c r="H33" i="6"/>
  <c r="I33" i="6" s="1"/>
  <c r="H18" i="6"/>
  <c r="I18" i="6" s="1"/>
  <c r="H19" i="6"/>
  <c r="I19" i="6" s="1"/>
  <c r="H27" i="6"/>
  <c r="I27" i="6" s="1"/>
  <c r="H35" i="6"/>
  <c r="I35" i="6" s="1"/>
  <c r="H43" i="6"/>
  <c r="I43" i="6" s="1"/>
  <c r="H51" i="6"/>
  <c r="I51" i="6" s="1"/>
  <c r="H37" i="6"/>
  <c r="I37" i="6" s="1"/>
  <c r="H22" i="6"/>
  <c r="I22" i="6" s="1"/>
  <c r="H46" i="6"/>
  <c r="I46" i="6" s="1"/>
  <c r="H39" i="6"/>
  <c r="I39" i="6" s="1"/>
  <c r="H24" i="6"/>
  <c r="I24" i="6" s="1"/>
  <c r="H25" i="6"/>
  <c r="I25" i="6" s="1"/>
  <c r="H49" i="6"/>
  <c r="I49" i="6" s="1"/>
  <c r="H6" i="6"/>
  <c r="I6" i="6" s="1"/>
  <c r="H4" i="6"/>
  <c r="L4" i="6" s="1"/>
  <c r="H20" i="6"/>
  <c r="I20" i="6" s="1"/>
  <c r="H28" i="6"/>
  <c r="I28" i="6" s="1"/>
  <c r="H36" i="6"/>
  <c r="I36" i="6" s="1"/>
  <c r="H44" i="6"/>
  <c r="I44" i="6" s="1"/>
  <c r="H52" i="6"/>
  <c r="I52" i="6" s="1"/>
  <c r="H45" i="6"/>
  <c r="I45" i="6" s="1"/>
  <c r="H30" i="6"/>
  <c r="I30" i="6" s="1"/>
  <c r="H15" i="6"/>
  <c r="I15" i="6" s="1"/>
  <c r="H47" i="6"/>
  <c r="I47" i="6" s="1"/>
  <c r="H40" i="6"/>
  <c r="I40" i="6" s="1"/>
  <c r="H5" i="6"/>
  <c r="I5" i="6" s="1"/>
  <c r="H13" i="6"/>
  <c r="I13" i="6" s="1"/>
  <c r="H7" i="6"/>
  <c r="I7" i="6" s="1"/>
  <c r="H21" i="6"/>
  <c r="I21" i="6" s="1"/>
  <c r="H8" i="6"/>
  <c r="I8" i="6" s="1"/>
  <c r="H14" i="6"/>
  <c r="I14" i="6" s="1"/>
  <c r="H9" i="6"/>
  <c r="I9" i="6" s="1"/>
  <c r="H31" i="6"/>
  <c r="I31" i="6" s="1"/>
  <c r="H32" i="6"/>
  <c r="I32" i="6" s="1"/>
  <c r="H17" i="6"/>
  <c r="I17" i="6" s="1"/>
  <c r="H41" i="6"/>
  <c r="I41" i="6" s="1"/>
  <c r="H16" i="6"/>
  <c r="I16" i="6" s="1"/>
  <c r="I4" i="6"/>
  <c r="G163" i="3"/>
  <c r="H163" i="3"/>
  <c r="I163" i="3"/>
  <c r="J163" i="3"/>
  <c r="F163" i="3"/>
  <c r="H1" i="6" l="1"/>
  <c r="I1" i="6"/>
  <c r="L5" i="6"/>
  <c r="N4" i="6"/>
  <c r="G164" i="3"/>
  <c r="H164" i="3"/>
  <c r="I164" i="3"/>
  <c r="J164" i="3"/>
  <c r="F164" i="3"/>
  <c r="L6" i="6" l="1"/>
  <c r="N5" i="6"/>
  <c r="G165" i="3"/>
  <c r="H165" i="3"/>
  <c r="I165" i="3"/>
  <c r="J165" i="3"/>
  <c r="F165" i="3"/>
  <c r="L7" i="6" l="1"/>
  <c r="N6" i="6"/>
  <c r="G166" i="3"/>
  <c r="H166" i="3"/>
  <c r="I166" i="3"/>
  <c r="J166" i="3"/>
  <c r="F166" i="3"/>
  <c r="L8" i="6" l="1"/>
  <c r="N7" i="6"/>
  <c r="G167" i="3"/>
  <c r="H167" i="3"/>
  <c r="I167" i="3"/>
  <c r="J167" i="3"/>
  <c r="F167" i="3"/>
  <c r="L9" i="6" l="1"/>
  <c r="N8" i="6"/>
  <c r="G168" i="3"/>
  <c r="H168" i="3"/>
  <c r="I168" i="3"/>
  <c r="J168" i="3"/>
  <c r="F168" i="3"/>
  <c r="N9" i="6" l="1"/>
  <c r="L10" i="6"/>
  <c r="G169" i="3"/>
  <c r="H169" i="3"/>
  <c r="I169" i="3"/>
  <c r="J169" i="3"/>
  <c r="F169" i="3"/>
  <c r="L11" i="6" l="1"/>
  <c r="N10" i="6"/>
  <c r="G170" i="3"/>
  <c r="H170" i="3"/>
  <c r="I170" i="3"/>
  <c r="J170" i="3"/>
  <c r="F170" i="3"/>
  <c r="L12" i="6" l="1"/>
  <c r="N11" i="6"/>
  <c r="G171" i="3"/>
  <c r="H171" i="3"/>
  <c r="I171" i="3"/>
  <c r="J171" i="3"/>
  <c r="F171" i="3"/>
  <c r="N12" i="6" l="1"/>
  <c r="L13" i="6"/>
  <c r="G172" i="3"/>
  <c r="H172" i="3"/>
  <c r="I172" i="3"/>
  <c r="J172" i="3"/>
  <c r="F172" i="3"/>
  <c r="N13" i="6" l="1"/>
  <c r="L14" i="6"/>
  <c r="G173" i="3"/>
  <c r="H173" i="3"/>
  <c r="I173" i="3"/>
  <c r="J173" i="3"/>
  <c r="F173" i="3"/>
  <c r="L15" i="6" l="1"/>
  <c r="N14" i="6"/>
  <c r="G174" i="3"/>
  <c r="H174" i="3"/>
  <c r="I174" i="3"/>
  <c r="J174" i="3"/>
  <c r="F174" i="3"/>
  <c r="L16" i="6" l="1"/>
  <c r="N15" i="6"/>
  <c r="G175" i="3"/>
  <c r="H175" i="3"/>
  <c r="I175" i="3"/>
  <c r="J175" i="3"/>
  <c r="F175" i="3"/>
  <c r="N16" i="6" l="1"/>
  <c r="L17" i="6"/>
  <c r="G176" i="3"/>
  <c r="H176" i="3"/>
  <c r="I176" i="3"/>
  <c r="J176" i="3"/>
  <c r="F176" i="3"/>
  <c r="L18" i="6" l="1"/>
  <c r="N17" i="6"/>
  <c r="G177" i="3"/>
  <c r="H177" i="3"/>
  <c r="I177" i="3"/>
  <c r="J177" i="3"/>
  <c r="F177" i="3"/>
  <c r="N18" i="6" l="1"/>
  <c r="L19" i="6"/>
  <c r="G178" i="3"/>
  <c r="H178" i="3"/>
  <c r="I178" i="3"/>
  <c r="J178" i="3"/>
  <c r="F178" i="3"/>
  <c r="L20" i="6" l="1"/>
  <c r="N19" i="6"/>
  <c r="G179" i="3"/>
  <c r="H179" i="3"/>
  <c r="I179" i="3"/>
  <c r="J179" i="3"/>
  <c r="F179" i="3"/>
  <c r="L21" i="6" l="1"/>
  <c r="N20" i="6"/>
  <c r="G180" i="3"/>
  <c r="H180" i="3"/>
  <c r="I180" i="3"/>
  <c r="J180" i="3"/>
  <c r="F180" i="3"/>
  <c r="L22" i="6" l="1"/>
  <c r="N21" i="6"/>
  <c r="G181" i="3"/>
  <c r="H181" i="3"/>
  <c r="I181" i="3"/>
  <c r="J181" i="3"/>
  <c r="F181" i="3"/>
  <c r="L23" i="6" l="1"/>
  <c r="N22" i="6"/>
  <c r="G182" i="3"/>
  <c r="H182" i="3"/>
  <c r="I182" i="3"/>
  <c r="J182" i="3"/>
  <c r="F182" i="3"/>
  <c r="L24" i="6" l="1"/>
  <c r="N23" i="6"/>
  <c r="G183" i="3"/>
  <c r="H183" i="3"/>
  <c r="I183" i="3"/>
  <c r="J183" i="3"/>
  <c r="F183" i="3"/>
  <c r="L25" i="6" l="1"/>
  <c r="N24" i="6"/>
  <c r="G184" i="3"/>
  <c r="H184" i="3"/>
  <c r="I184" i="3"/>
  <c r="J184" i="3"/>
  <c r="F184" i="3"/>
  <c r="L26" i="6" l="1"/>
  <c r="N25" i="6"/>
  <c r="G185" i="3"/>
  <c r="I185" i="3"/>
  <c r="J185" i="3"/>
  <c r="H185" i="3"/>
  <c r="F185" i="3"/>
  <c r="L27" i="6" l="1"/>
  <c r="N26" i="6"/>
  <c r="G186" i="3"/>
  <c r="J186" i="3"/>
  <c r="H186" i="3"/>
  <c r="I186" i="3"/>
  <c r="F186" i="3"/>
  <c r="L28" i="6" l="1"/>
  <c r="N27" i="6"/>
  <c r="G187" i="3"/>
  <c r="H187" i="3"/>
  <c r="I187" i="3"/>
  <c r="J187" i="3"/>
  <c r="F187" i="3"/>
  <c r="L29" i="6" l="1"/>
  <c r="N28" i="6"/>
  <c r="G188" i="3"/>
  <c r="H188" i="3"/>
  <c r="I188" i="3"/>
  <c r="J188" i="3"/>
  <c r="F188" i="3"/>
  <c r="L30" i="6" l="1"/>
  <c r="N29" i="6"/>
  <c r="G189" i="3"/>
  <c r="I189" i="3"/>
  <c r="J189" i="3"/>
  <c r="H189" i="3"/>
  <c r="F189" i="3"/>
  <c r="L31" i="6" l="1"/>
  <c r="N30" i="6"/>
  <c r="G190" i="3"/>
  <c r="J190" i="3"/>
  <c r="H190" i="3"/>
  <c r="I190" i="3"/>
  <c r="F190" i="3"/>
  <c r="L32" i="6" l="1"/>
  <c r="N31" i="6"/>
  <c r="G191" i="3"/>
  <c r="H191" i="3"/>
  <c r="I191" i="3"/>
  <c r="J191" i="3"/>
  <c r="F191" i="3"/>
  <c r="L33" i="6" l="1"/>
  <c r="N32" i="6"/>
  <c r="G192" i="3"/>
  <c r="H192" i="3"/>
  <c r="I192" i="3"/>
  <c r="J192" i="3"/>
  <c r="F192" i="3"/>
  <c r="L34" i="6" l="1"/>
  <c r="N33" i="6"/>
  <c r="G193" i="3"/>
  <c r="I193" i="3"/>
  <c r="J193" i="3"/>
  <c r="H193" i="3"/>
  <c r="F193" i="3"/>
  <c r="L35" i="6" l="1"/>
  <c r="N34" i="6"/>
  <c r="G194" i="3"/>
  <c r="J194" i="3"/>
  <c r="H194" i="3"/>
  <c r="I194" i="3"/>
  <c r="F194" i="3"/>
  <c r="L36" i="6" l="1"/>
  <c r="N35" i="6"/>
  <c r="G195" i="3"/>
  <c r="H195" i="3"/>
  <c r="I195" i="3"/>
  <c r="J195" i="3"/>
  <c r="F195" i="3"/>
  <c r="L37" i="6" l="1"/>
  <c r="N36" i="6"/>
  <c r="G196" i="3"/>
  <c r="H196" i="3"/>
  <c r="I196" i="3"/>
  <c r="J196" i="3"/>
  <c r="F196" i="3"/>
  <c r="L38" i="6" l="1"/>
  <c r="N37" i="6"/>
  <c r="G197" i="3"/>
  <c r="I197" i="3"/>
  <c r="J197" i="3"/>
  <c r="H197" i="3"/>
  <c r="F197" i="3"/>
  <c r="L39" i="6" l="1"/>
  <c r="N38" i="6"/>
  <c r="G198" i="3"/>
  <c r="J198" i="3"/>
  <c r="H198" i="3"/>
  <c r="I198" i="3"/>
  <c r="F198" i="3"/>
  <c r="L40" i="6" l="1"/>
  <c r="N39" i="6"/>
  <c r="G199" i="3"/>
  <c r="H199" i="3"/>
  <c r="I199" i="3"/>
  <c r="J199" i="3"/>
  <c r="F199" i="3"/>
  <c r="L41" i="6" l="1"/>
  <c r="N40" i="6"/>
  <c r="G200" i="3"/>
  <c r="H200" i="3"/>
  <c r="I200" i="3"/>
  <c r="J200" i="3"/>
  <c r="F200" i="3"/>
  <c r="L42" i="6" l="1"/>
  <c r="N41" i="6"/>
  <c r="G201" i="3"/>
  <c r="I201" i="3"/>
  <c r="J201" i="3"/>
  <c r="H201" i="3"/>
  <c r="F201" i="3"/>
  <c r="L43" i="6" l="1"/>
  <c r="N42" i="6"/>
  <c r="I202" i="3"/>
  <c r="J202" i="3"/>
  <c r="G202" i="3"/>
  <c r="H202" i="3"/>
  <c r="F202" i="3"/>
  <c r="L44" i="6" l="1"/>
  <c r="N43" i="6"/>
  <c r="I203" i="3"/>
  <c r="J203" i="3"/>
  <c r="G203" i="3"/>
  <c r="H203" i="3"/>
  <c r="F203" i="3"/>
  <c r="L45" i="6" l="1"/>
  <c r="N44" i="6"/>
  <c r="I204" i="3"/>
  <c r="J204" i="3"/>
  <c r="G204" i="3"/>
  <c r="H204" i="3"/>
  <c r="F204" i="3"/>
  <c r="L46" i="6" l="1"/>
  <c r="N45" i="6"/>
  <c r="I205" i="3"/>
  <c r="J205" i="3"/>
  <c r="G205" i="3"/>
  <c r="H205" i="3"/>
  <c r="F205" i="3"/>
  <c r="L47" i="6" l="1"/>
  <c r="N46" i="6"/>
  <c r="I206" i="3"/>
  <c r="J206" i="3"/>
  <c r="G206" i="3"/>
  <c r="H206" i="3"/>
  <c r="F206" i="3"/>
  <c r="L48" i="6" l="1"/>
  <c r="N47" i="6"/>
  <c r="I207" i="3"/>
  <c r="J207" i="3"/>
  <c r="G207" i="3"/>
  <c r="H207" i="3"/>
  <c r="F207" i="3"/>
  <c r="L49" i="6" l="1"/>
  <c r="N48" i="6"/>
  <c r="I208" i="3"/>
  <c r="J208" i="3"/>
  <c r="G208" i="3"/>
  <c r="H208" i="3"/>
  <c r="F208" i="3"/>
  <c r="L50" i="6" l="1"/>
  <c r="N49" i="6"/>
  <c r="I209" i="3"/>
  <c r="J209" i="3"/>
  <c r="G209" i="3"/>
  <c r="H209" i="3"/>
  <c r="F209" i="3"/>
  <c r="L51" i="6" l="1"/>
  <c r="N50" i="6"/>
  <c r="I210" i="3"/>
  <c r="J210" i="3"/>
  <c r="G210" i="3"/>
  <c r="H210" i="3"/>
  <c r="F210" i="3"/>
  <c r="L52" i="6" l="1"/>
  <c r="N51" i="6"/>
  <c r="I211" i="3"/>
  <c r="J211" i="3"/>
  <c r="G211" i="3"/>
  <c r="H211" i="3"/>
  <c r="F211" i="3"/>
  <c r="L53" i="6" l="1"/>
  <c r="L54" i="6" s="1"/>
  <c r="N52" i="6"/>
  <c r="I212" i="3"/>
  <c r="J212" i="3"/>
  <c r="G212" i="3"/>
  <c r="H212" i="3"/>
  <c r="F212" i="3"/>
  <c r="L55" i="6" l="1"/>
  <c r="N54" i="6"/>
  <c r="N53" i="6"/>
  <c r="I213" i="3"/>
  <c r="J213" i="3"/>
  <c r="G213" i="3"/>
  <c r="H213" i="3"/>
  <c r="F213" i="3"/>
  <c r="L56" i="6" l="1"/>
  <c r="N55" i="6"/>
  <c r="I214" i="3"/>
  <c r="J214" i="3"/>
  <c r="G214" i="3"/>
  <c r="H214" i="3"/>
  <c r="F214" i="3"/>
  <c r="L57" i="6" l="1"/>
  <c r="N56" i="6"/>
  <c r="I215" i="3"/>
  <c r="J215" i="3"/>
  <c r="G215" i="3"/>
  <c r="H215" i="3"/>
  <c r="F215" i="3"/>
  <c r="L58" i="6" l="1"/>
  <c r="N57" i="6"/>
  <c r="I216" i="3"/>
  <c r="J216" i="3"/>
  <c r="G216" i="3"/>
  <c r="H216" i="3"/>
  <c r="F216" i="3"/>
  <c r="L59" i="6" l="1"/>
  <c r="N58" i="6"/>
  <c r="I217" i="3"/>
  <c r="J217" i="3"/>
  <c r="G217" i="3"/>
  <c r="H217" i="3"/>
  <c r="F217" i="3"/>
  <c r="L60" i="6" l="1"/>
  <c r="N59" i="6"/>
  <c r="I218" i="3"/>
  <c r="J218" i="3"/>
  <c r="G218" i="3"/>
  <c r="H218" i="3"/>
  <c r="F218" i="3"/>
  <c r="L61" i="6" l="1"/>
  <c r="N60" i="6"/>
  <c r="I219" i="3"/>
  <c r="J219" i="3"/>
  <c r="G219" i="3"/>
  <c r="H219" i="3"/>
  <c r="F219" i="3"/>
  <c r="L62" i="6" l="1"/>
  <c r="N61" i="6"/>
  <c r="I220" i="3"/>
  <c r="J220" i="3"/>
  <c r="G220" i="3"/>
  <c r="H220" i="3"/>
  <c r="F220" i="3"/>
  <c r="L63" i="6" l="1"/>
  <c r="N62" i="6"/>
  <c r="I221" i="3"/>
  <c r="J221" i="3"/>
  <c r="G221" i="3"/>
  <c r="H221" i="3"/>
  <c r="F221" i="3"/>
  <c r="L64" i="6" l="1"/>
  <c r="N63" i="6"/>
  <c r="I222" i="3"/>
  <c r="J222" i="3"/>
  <c r="G222" i="3"/>
  <c r="H222" i="3"/>
  <c r="F222" i="3"/>
  <c r="L65" i="6" l="1"/>
  <c r="N64" i="6"/>
  <c r="I223" i="3"/>
  <c r="J223" i="3"/>
  <c r="G223" i="3"/>
  <c r="H223" i="3"/>
  <c r="F223" i="3"/>
  <c r="L66" i="6" l="1"/>
  <c r="N65" i="6"/>
  <c r="I224" i="3"/>
  <c r="J224" i="3"/>
  <c r="G224" i="3"/>
  <c r="H224" i="3"/>
  <c r="F224" i="3"/>
  <c r="L67" i="6" l="1"/>
  <c r="N66" i="6"/>
  <c r="I225" i="3"/>
  <c r="J225" i="3"/>
  <c r="G225" i="3"/>
  <c r="H225" i="3"/>
  <c r="F225" i="3"/>
  <c r="L68" i="6" l="1"/>
  <c r="N67" i="6"/>
  <c r="I226" i="3"/>
  <c r="J226" i="3"/>
  <c r="G226" i="3"/>
  <c r="H226" i="3"/>
  <c r="F226" i="3"/>
  <c r="L69" i="6" l="1"/>
  <c r="N68" i="6"/>
  <c r="I227" i="3"/>
  <c r="J227" i="3"/>
  <c r="G227" i="3"/>
  <c r="H227" i="3"/>
  <c r="F227" i="3"/>
  <c r="L70" i="6" l="1"/>
  <c r="N69" i="6"/>
  <c r="I228" i="3"/>
  <c r="J228" i="3"/>
  <c r="G228" i="3"/>
  <c r="H228" i="3"/>
  <c r="F228" i="3"/>
  <c r="L71" i="6" l="1"/>
  <c r="N70" i="6"/>
  <c r="I229" i="3"/>
  <c r="J229" i="3"/>
  <c r="G229" i="3"/>
  <c r="H229" i="3"/>
  <c r="F229" i="3"/>
  <c r="L72" i="6" l="1"/>
  <c r="N71" i="6"/>
  <c r="I230" i="3"/>
  <c r="J230" i="3"/>
  <c r="G230" i="3"/>
  <c r="H230" i="3"/>
  <c r="F230" i="3"/>
  <c r="L73" i="6" l="1"/>
  <c r="N72" i="6"/>
  <c r="I231" i="3"/>
  <c r="J231" i="3"/>
  <c r="G231" i="3"/>
  <c r="H231" i="3"/>
  <c r="F231" i="3"/>
  <c r="L74" i="6" l="1"/>
  <c r="N73" i="6"/>
  <c r="I232" i="3"/>
  <c r="J232" i="3"/>
  <c r="G232" i="3"/>
  <c r="H232" i="3"/>
  <c r="F232" i="3"/>
  <c r="L75" i="6" l="1"/>
  <c r="N74" i="6"/>
  <c r="I233" i="3"/>
  <c r="J233" i="3"/>
  <c r="G233" i="3"/>
  <c r="H233" i="3"/>
  <c r="F233" i="3"/>
  <c r="L76" i="6" l="1"/>
  <c r="N75" i="6"/>
  <c r="I234" i="3"/>
  <c r="J234" i="3"/>
  <c r="G234" i="3"/>
  <c r="H234" i="3"/>
  <c r="F234" i="3"/>
  <c r="L77" i="6" l="1"/>
  <c r="N76" i="6"/>
  <c r="I235" i="3"/>
  <c r="J235" i="3"/>
  <c r="G235" i="3"/>
  <c r="H235" i="3"/>
  <c r="F235" i="3"/>
  <c r="L78" i="6" l="1"/>
  <c r="N77" i="6"/>
  <c r="I236" i="3"/>
  <c r="J236" i="3"/>
  <c r="G236" i="3"/>
  <c r="H236" i="3"/>
  <c r="F236" i="3"/>
  <c r="L79" i="6" l="1"/>
  <c r="N78" i="6"/>
  <c r="I237" i="3"/>
  <c r="J237" i="3"/>
  <c r="G237" i="3"/>
  <c r="H237" i="3"/>
  <c r="F237" i="3"/>
  <c r="L80" i="6" l="1"/>
  <c r="N79" i="6"/>
  <c r="I238" i="3"/>
  <c r="J238" i="3"/>
  <c r="G238" i="3"/>
  <c r="H238" i="3"/>
  <c r="F238" i="3"/>
  <c r="L81" i="6" l="1"/>
  <c r="N80" i="6"/>
  <c r="I239" i="3"/>
  <c r="J239" i="3"/>
  <c r="G239" i="3"/>
  <c r="H239" i="3"/>
  <c r="F239" i="3"/>
  <c r="L82" i="6" l="1"/>
  <c r="N81" i="6"/>
  <c r="I240" i="3"/>
  <c r="J240" i="3"/>
  <c r="G240" i="3"/>
  <c r="H240" i="3"/>
  <c r="F240" i="3"/>
  <c r="L83" i="6" l="1"/>
  <c r="N82" i="6"/>
  <c r="I241" i="3"/>
  <c r="J241" i="3"/>
  <c r="G241" i="3"/>
  <c r="H241" i="3"/>
  <c r="F241" i="3"/>
  <c r="L84" i="6" l="1"/>
  <c r="N83" i="6"/>
  <c r="I242" i="3"/>
  <c r="J242" i="3"/>
  <c r="G242" i="3"/>
  <c r="H242" i="3"/>
  <c r="F242" i="3"/>
  <c r="L85" i="6" l="1"/>
  <c r="N84" i="6"/>
  <c r="I243" i="3"/>
  <c r="J243" i="3"/>
  <c r="G243" i="3"/>
  <c r="H243" i="3"/>
  <c r="F243" i="3"/>
  <c r="L86" i="6" l="1"/>
  <c r="N85" i="6"/>
  <c r="I244" i="3"/>
  <c r="J244" i="3"/>
  <c r="G244" i="3"/>
  <c r="H244" i="3"/>
  <c r="F244" i="3"/>
  <c r="L87" i="6" l="1"/>
  <c r="N86" i="6"/>
  <c r="I245" i="3"/>
  <c r="J245" i="3"/>
  <c r="G245" i="3"/>
  <c r="H245" i="3"/>
  <c r="F245" i="3"/>
  <c r="L88" i="6" l="1"/>
  <c r="N87" i="6"/>
  <c r="I246" i="3"/>
  <c r="J246" i="3"/>
  <c r="G246" i="3"/>
  <c r="H246" i="3"/>
  <c r="F246" i="3"/>
  <c r="L89" i="6" l="1"/>
  <c r="N88" i="6"/>
  <c r="I247" i="3"/>
  <c r="J247" i="3"/>
  <c r="G247" i="3"/>
  <c r="H247" i="3"/>
  <c r="F247" i="3"/>
  <c r="L90" i="6" l="1"/>
  <c r="N89" i="6"/>
  <c r="I248" i="3"/>
  <c r="J248" i="3"/>
  <c r="G248" i="3"/>
  <c r="H248" i="3"/>
  <c r="F248" i="3"/>
  <c r="L91" i="6" l="1"/>
  <c r="N90" i="6"/>
  <c r="I249" i="3"/>
  <c r="J249" i="3"/>
  <c r="G249" i="3"/>
  <c r="H249" i="3"/>
  <c r="F249" i="3"/>
  <c r="L92" i="6" l="1"/>
  <c r="N91" i="6"/>
  <c r="I250" i="3"/>
  <c r="G250" i="3"/>
  <c r="H250" i="3"/>
  <c r="J250" i="3"/>
  <c r="F250" i="3"/>
  <c r="L93" i="6" l="1"/>
  <c r="N92" i="6"/>
  <c r="I251" i="3"/>
  <c r="J251" i="3"/>
  <c r="H251" i="3"/>
  <c r="G251" i="3"/>
  <c r="F251" i="3"/>
  <c r="L94" i="6" l="1"/>
  <c r="N93" i="6"/>
  <c r="I252" i="3"/>
  <c r="J252" i="3"/>
  <c r="G252" i="3"/>
  <c r="H252" i="3"/>
  <c r="F252" i="3"/>
  <c r="L95" i="6" l="1"/>
  <c r="N94" i="6"/>
  <c r="I253" i="3"/>
  <c r="G253" i="3"/>
  <c r="H253" i="3"/>
  <c r="J253" i="3"/>
  <c r="F253" i="3"/>
  <c r="L96" i="6" l="1"/>
  <c r="N95" i="6"/>
  <c r="I254" i="3"/>
  <c r="H254" i="3"/>
  <c r="J254" i="3"/>
  <c r="G254" i="3"/>
  <c r="F254" i="3"/>
  <c r="L97" i="6" l="1"/>
  <c r="N96" i="6"/>
  <c r="I255" i="3"/>
  <c r="J255" i="3"/>
  <c r="G255" i="3"/>
  <c r="H255" i="3"/>
  <c r="F255" i="3"/>
  <c r="L98" i="6" l="1"/>
  <c r="N97" i="6"/>
  <c r="I256" i="3"/>
  <c r="G256" i="3"/>
  <c r="J256" i="3"/>
  <c r="H256" i="3"/>
  <c r="F256" i="3"/>
  <c r="L99" i="6" l="1"/>
  <c r="N98" i="6"/>
  <c r="I257" i="3"/>
  <c r="G257" i="3"/>
  <c r="H257" i="3"/>
  <c r="J257" i="3"/>
  <c r="F257" i="3"/>
  <c r="N99" i="6" l="1"/>
  <c r="N1" i="6" s="1"/>
  <c r="L1" i="6"/>
  <c r="I258" i="3"/>
  <c r="H258" i="3"/>
  <c r="J258" i="3"/>
  <c r="G258" i="3"/>
  <c r="F258" i="3"/>
  <c r="I259" i="3" l="1"/>
  <c r="J259" i="3"/>
  <c r="H259" i="3"/>
  <c r="G259" i="3"/>
  <c r="F259" i="3"/>
  <c r="I260" i="3" l="1"/>
  <c r="G260" i="3"/>
  <c r="H260" i="3"/>
  <c r="J260" i="3"/>
  <c r="F260" i="3"/>
  <c r="I261" i="3" l="1"/>
  <c r="G261" i="3"/>
  <c r="H261" i="3"/>
  <c r="J261" i="3"/>
  <c r="F261" i="3"/>
  <c r="I262" i="3" l="1"/>
  <c r="H262" i="3"/>
  <c r="J262" i="3"/>
  <c r="G262" i="3"/>
  <c r="F262" i="3"/>
  <c r="I263" i="3" l="1"/>
  <c r="J263" i="3"/>
  <c r="H263" i="3"/>
  <c r="G263" i="3"/>
  <c r="F263" i="3"/>
  <c r="I264" i="3" l="1"/>
  <c r="G264" i="3"/>
  <c r="H264" i="3"/>
  <c r="J264" i="3"/>
  <c r="F264" i="3"/>
  <c r="I265" i="3" l="1"/>
  <c r="G265" i="3"/>
  <c r="H265" i="3"/>
  <c r="J265" i="3"/>
  <c r="F265" i="3"/>
  <c r="I266" i="3" l="1"/>
  <c r="H266" i="3"/>
  <c r="J266" i="3"/>
  <c r="G266" i="3"/>
  <c r="F266" i="3"/>
  <c r="I267" i="3" l="1"/>
  <c r="J267" i="3"/>
  <c r="H267" i="3"/>
  <c r="G267" i="3"/>
  <c r="F267" i="3"/>
  <c r="I268" i="3" l="1"/>
  <c r="G268" i="3"/>
  <c r="H268" i="3"/>
  <c r="J268" i="3"/>
  <c r="F268" i="3"/>
  <c r="I269" i="3" l="1"/>
  <c r="G269" i="3"/>
  <c r="H269" i="3"/>
  <c r="J269" i="3"/>
  <c r="F269" i="3"/>
  <c r="I270" i="3" l="1"/>
  <c r="H270" i="3"/>
  <c r="J270" i="3"/>
  <c r="G270" i="3"/>
  <c r="F270" i="3"/>
  <c r="I271" i="3" l="1"/>
  <c r="J271" i="3"/>
  <c r="H271" i="3"/>
  <c r="G271" i="3"/>
  <c r="F271" i="3"/>
  <c r="I272" i="3" l="1"/>
  <c r="G272" i="3"/>
  <c r="H272" i="3"/>
  <c r="J272" i="3"/>
  <c r="F272" i="3"/>
  <c r="I273" i="3" l="1"/>
  <c r="G273" i="3"/>
  <c r="H273" i="3"/>
  <c r="J273" i="3"/>
  <c r="F273" i="3"/>
  <c r="I274" i="3" l="1"/>
  <c r="H274" i="3"/>
  <c r="G274" i="3"/>
  <c r="J274" i="3"/>
  <c r="F274" i="3"/>
  <c r="I275" i="3" l="1"/>
  <c r="J275" i="3"/>
  <c r="H275" i="3"/>
  <c r="G275" i="3"/>
  <c r="F275" i="3"/>
  <c r="I276" i="3" l="1"/>
  <c r="G276" i="3"/>
  <c r="H276" i="3"/>
  <c r="J276" i="3"/>
  <c r="F276" i="3"/>
  <c r="I277" i="3" l="1"/>
  <c r="G277" i="3"/>
  <c r="H277" i="3"/>
  <c r="J277" i="3"/>
  <c r="F277" i="3"/>
  <c r="I278" i="3" l="1"/>
  <c r="H278" i="3"/>
  <c r="G278" i="3"/>
  <c r="J278" i="3"/>
  <c r="F278" i="3"/>
  <c r="I279" i="3" l="1"/>
  <c r="J279" i="3"/>
  <c r="H279" i="3"/>
  <c r="G279" i="3"/>
  <c r="F279" i="3"/>
  <c r="I280" i="3" l="1"/>
  <c r="G280" i="3"/>
  <c r="H280" i="3"/>
  <c r="J280" i="3"/>
  <c r="F280" i="3"/>
  <c r="I281" i="3" l="1"/>
  <c r="G281" i="3"/>
  <c r="H281" i="3"/>
  <c r="J281" i="3"/>
  <c r="F281" i="3"/>
  <c r="I282" i="3" l="1"/>
  <c r="H282" i="3"/>
  <c r="G282" i="3"/>
  <c r="J282" i="3"/>
  <c r="F282" i="3"/>
  <c r="I283" i="3" l="1"/>
  <c r="J283" i="3"/>
  <c r="H283" i="3"/>
  <c r="G283" i="3"/>
  <c r="F283" i="3"/>
  <c r="I284" i="3" l="1"/>
  <c r="G284" i="3"/>
  <c r="H284" i="3"/>
  <c r="J284" i="3"/>
  <c r="F284" i="3"/>
  <c r="I285" i="3" l="1"/>
  <c r="G285" i="3"/>
  <c r="H285" i="3"/>
  <c r="J285" i="3"/>
  <c r="F285" i="3"/>
  <c r="I286" i="3" l="1"/>
  <c r="H286" i="3"/>
  <c r="G286" i="3"/>
  <c r="J286" i="3"/>
  <c r="F286" i="3"/>
  <c r="I287" i="3" l="1"/>
  <c r="J287" i="3"/>
  <c r="H287" i="3"/>
  <c r="G287" i="3"/>
  <c r="F287" i="3"/>
  <c r="I288" i="3" l="1"/>
  <c r="G288" i="3"/>
  <c r="H288" i="3"/>
  <c r="J288" i="3"/>
  <c r="F288" i="3"/>
  <c r="I289" i="3" l="1"/>
  <c r="G289" i="3"/>
  <c r="H289" i="3"/>
  <c r="J289" i="3"/>
  <c r="F289" i="3"/>
  <c r="I290" i="3" l="1"/>
  <c r="H290" i="3"/>
  <c r="G290" i="3"/>
  <c r="J290" i="3"/>
  <c r="F290" i="3"/>
  <c r="I291" i="3" l="1"/>
  <c r="J291" i="3"/>
  <c r="H291" i="3"/>
  <c r="G291" i="3"/>
  <c r="F291" i="3"/>
  <c r="I292" i="3" l="1"/>
  <c r="G292" i="3"/>
  <c r="H292" i="3"/>
  <c r="J292" i="3"/>
  <c r="F292" i="3"/>
  <c r="I293" i="3" l="1"/>
  <c r="G293" i="3"/>
  <c r="H293" i="3"/>
  <c r="J293" i="3"/>
  <c r="F293" i="3"/>
  <c r="I294" i="3" l="1"/>
  <c r="H294" i="3"/>
  <c r="G294" i="3"/>
  <c r="J294" i="3"/>
  <c r="F294" i="3"/>
  <c r="I295" i="3" l="1"/>
  <c r="J295" i="3"/>
  <c r="H295" i="3"/>
  <c r="G295" i="3"/>
  <c r="F295" i="3"/>
  <c r="I296" i="3" l="1"/>
  <c r="G296" i="3"/>
  <c r="H296" i="3"/>
  <c r="J296" i="3"/>
  <c r="F296" i="3"/>
  <c r="I297" i="3" l="1"/>
  <c r="G297" i="3"/>
  <c r="H297" i="3"/>
  <c r="J297" i="3"/>
  <c r="F297" i="3"/>
  <c r="I298" i="3" l="1"/>
  <c r="H298" i="3"/>
  <c r="G298" i="3"/>
  <c r="J298" i="3"/>
  <c r="F298" i="3"/>
  <c r="I299" i="3" l="1"/>
  <c r="J299" i="3"/>
  <c r="H299" i="3"/>
  <c r="G299" i="3"/>
  <c r="F299" i="3"/>
  <c r="I300" i="3" l="1"/>
  <c r="G300" i="3"/>
  <c r="H300" i="3"/>
  <c r="J300" i="3"/>
  <c r="F300" i="3"/>
  <c r="I301" i="3" l="1"/>
  <c r="G301" i="3"/>
  <c r="H301" i="3"/>
  <c r="J301" i="3"/>
  <c r="F301" i="3"/>
  <c r="I302" i="3" l="1"/>
  <c r="H302" i="3"/>
  <c r="J302" i="3"/>
  <c r="G302" i="3"/>
  <c r="F302" i="3"/>
  <c r="I303" i="3" l="1"/>
  <c r="J303" i="3"/>
  <c r="H303" i="3"/>
  <c r="G303" i="3"/>
  <c r="F303" i="3"/>
  <c r="I304" i="3" l="1"/>
  <c r="G304" i="3"/>
  <c r="H304" i="3"/>
  <c r="J304" i="3"/>
  <c r="F304" i="3"/>
  <c r="I305" i="3" l="1"/>
  <c r="G305" i="3"/>
  <c r="H305" i="3"/>
  <c r="J305" i="3"/>
  <c r="F305" i="3"/>
  <c r="H306" i="3" l="1"/>
  <c r="I306" i="3"/>
  <c r="G306" i="3"/>
  <c r="J306" i="3"/>
  <c r="F306" i="3"/>
  <c r="H307" i="3" l="1"/>
  <c r="G307" i="3"/>
  <c r="I307" i="3"/>
  <c r="J307" i="3"/>
  <c r="F307" i="3"/>
  <c r="H308" i="3" l="1"/>
  <c r="I308" i="3"/>
  <c r="J308" i="3"/>
  <c r="G308" i="3"/>
  <c r="F308" i="3"/>
  <c r="H309" i="3" l="1"/>
  <c r="G309" i="3"/>
  <c r="I309" i="3"/>
  <c r="J309" i="3"/>
  <c r="F309" i="3"/>
  <c r="H310" i="3" l="1"/>
  <c r="I310" i="3"/>
  <c r="G310" i="3"/>
  <c r="J310" i="3"/>
  <c r="F310" i="3"/>
  <c r="H311" i="3" l="1"/>
  <c r="G311" i="3"/>
  <c r="I311" i="3"/>
  <c r="J311" i="3"/>
  <c r="F311" i="3"/>
  <c r="H312" i="3" l="1"/>
  <c r="I312" i="3"/>
  <c r="G312" i="3"/>
  <c r="J312" i="3"/>
  <c r="F312" i="3"/>
  <c r="H313" i="3" l="1"/>
  <c r="I313" i="3"/>
  <c r="J313" i="3"/>
  <c r="G313" i="3"/>
  <c r="F313" i="3"/>
  <c r="H314" i="3" l="1"/>
  <c r="G314" i="3"/>
  <c r="I314" i="3"/>
  <c r="J314" i="3"/>
  <c r="F314" i="3"/>
  <c r="H315" i="3" l="1"/>
  <c r="I315" i="3"/>
  <c r="G315" i="3"/>
  <c r="J315" i="3"/>
  <c r="F315" i="3"/>
  <c r="H316" i="3" l="1"/>
  <c r="I316" i="3"/>
  <c r="J316" i="3"/>
  <c r="G316" i="3"/>
  <c r="F316" i="3"/>
  <c r="H317" i="3" l="1"/>
  <c r="I317" i="3"/>
  <c r="G317" i="3"/>
  <c r="J317" i="3"/>
  <c r="F317" i="3"/>
  <c r="H318" i="3" l="1"/>
  <c r="I318" i="3"/>
  <c r="G318" i="3"/>
  <c r="J318" i="3"/>
  <c r="F318" i="3"/>
  <c r="F319" i="3" l="1"/>
  <c r="J319" i="3"/>
  <c r="G319" i="3"/>
  <c r="H319" i="3"/>
  <c r="I319" i="3"/>
  <c r="I320" i="3" l="1"/>
  <c r="J320" i="3"/>
  <c r="F320" i="3"/>
  <c r="G320" i="3"/>
  <c r="H320" i="3"/>
</calcChain>
</file>

<file path=xl/sharedStrings.xml><?xml version="1.0" encoding="utf-8"?>
<sst xmlns="http://schemas.openxmlformats.org/spreadsheetml/2006/main" count="57" uniqueCount="41">
  <si>
    <t>t</t>
  </si>
  <si>
    <t>Payment</t>
  </si>
  <si>
    <t>Interest Paid</t>
  </si>
  <si>
    <t xml:space="preserve">Principle Repaid </t>
  </si>
  <si>
    <t>Outstanding Principal</t>
  </si>
  <si>
    <t>Sinking Fund Value</t>
  </si>
  <si>
    <t>n =</t>
  </si>
  <si>
    <t>MATH 2620</t>
  </si>
  <si>
    <t>Class Project:</t>
  </si>
  <si>
    <t>Financial Instruments Cash Flow Analysis</t>
  </si>
  <si>
    <t>Section Numer:</t>
  </si>
  <si>
    <t>Team Members (at most three):</t>
  </si>
  <si>
    <t>1.</t>
  </si>
  <si>
    <t>Input</t>
  </si>
  <si>
    <t>i =</t>
  </si>
  <si>
    <t>L =</t>
  </si>
  <si>
    <t>q =</t>
  </si>
  <si>
    <t>Output</t>
  </si>
  <si>
    <t>SP =</t>
  </si>
  <si>
    <t>j =</t>
  </si>
  <si>
    <t>Total Payment</t>
  </si>
  <si>
    <t>Service Payment</t>
  </si>
  <si>
    <t>Sinking Fund Payment</t>
  </si>
  <si>
    <t>Principle Adjustment</t>
  </si>
  <si>
    <t>Net Value of Loan</t>
  </si>
  <si>
    <t>F =</t>
  </si>
  <si>
    <t>r =</t>
  </si>
  <si>
    <t>C =</t>
  </si>
  <si>
    <t>Coupon</t>
  </si>
  <si>
    <t>Book Value</t>
  </si>
  <si>
    <t>002</t>
  </si>
  <si>
    <t>Spring 2020</t>
  </si>
  <si>
    <t>Daniel Zygadlo</t>
  </si>
  <si>
    <t>j=</t>
  </si>
  <si>
    <t>PMT=</t>
  </si>
  <si>
    <t>g=</t>
  </si>
  <si>
    <t>No editing -&gt;</t>
  </si>
  <si>
    <t>SFP=</t>
  </si>
  <si>
    <t>(1+j)^(n-t)</t>
  </si>
  <si>
    <t>(1+e)^(t-1)</t>
  </si>
  <si>
    <t>(1+j)^(n-t)*(1+e)^(t-1)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</si>
</sst>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3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43" fontId="0" fillId="0" borderId="0" xfId="1" applyFon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43" fontId="0" fillId="0" borderId="0" xfId="0" applyNumberFormat="1" applyAlignment="1" applyProtection="1">
      <alignment vertical="center"/>
      <protection hidden="1"/>
    </xf>
    <xf numFmtId="164" fontId="0" fillId="2" borderId="1" xfId="1" applyNumberFormat="1" applyFont="1" applyFill="1" applyBorder="1" applyAlignment="1" applyProtection="1">
      <alignment vertical="center"/>
      <protection locked="0"/>
    </xf>
    <xf numFmtId="9" fontId="0" fillId="2" borderId="2" xfId="2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164" fontId="0" fillId="2" borderId="2" xfId="1" applyNumberFormat="1" applyFont="1" applyFill="1" applyBorder="1" applyAlignment="1" applyProtection="1">
      <alignment vertical="center"/>
      <protection locked="0"/>
    </xf>
    <xf numFmtId="0" fontId="0" fillId="0" borderId="0" xfId="0" applyProtection="1">
      <protection hidden="1"/>
    </xf>
    <xf numFmtId="43" fontId="0" fillId="0" borderId="0" xfId="1" applyFont="1" applyProtection="1">
      <protection hidden="1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0" fontId="2" fillId="2" borderId="1" xfId="0" applyFont="1" applyFill="1" applyBorder="1" applyAlignment="1" applyProtection="1">
      <alignment horizontal="left" vertical="center"/>
      <protection locked="0"/>
    </xf>
    <xf numFmtId="43" fontId="0" fillId="0" borderId="0" xfId="0" applyNumberFormat="1" applyAlignment="1">
      <alignment vertical="center"/>
    </xf>
    <xf numFmtId="0" fontId="0" fillId="0" borderId="0" xfId="0" applyAlignment="1" applyProtection="1">
      <alignment horizontal="right" vertical="center"/>
      <protection hidden="1"/>
    </xf>
    <xf numFmtId="0" fontId="0" fillId="4" borderId="0" xfId="0" applyFill="1"/>
    <xf numFmtId="0" fontId="0" fillId="4" borderId="0" xfId="0" applyFill="1" applyAlignment="1" applyProtection="1">
      <alignment horizontal="center" vertical="center"/>
      <protection hidden="1"/>
    </xf>
    <xf numFmtId="43" fontId="0" fillId="4" borderId="0" xfId="1" applyFont="1" applyFill="1" applyProtection="1">
      <protection hidden="1"/>
    </xf>
    <xf numFmtId="43" fontId="0" fillId="0" borderId="0" xfId="0" applyNumberFormat="1"/>
    <xf numFmtId="0" fontId="2" fillId="5" borderId="0" xfId="3" applyFont="1" applyFill="1"/>
    <xf numFmtId="165" fontId="0" fillId="2" borderId="2" xfId="2" applyNumberFormat="1" applyFont="1" applyFill="1" applyBorder="1" applyAlignment="1" applyProtection="1">
      <alignment vertical="center"/>
      <protection locked="0"/>
    </xf>
    <xf numFmtId="2" fontId="0" fillId="0" borderId="0" xfId="1" applyNumberFormat="1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166" fontId="0" fillId="0" borderId="0" xfId="0" applyNumberFormat="1" applyAlignment="1">
      <alignment vertical="center"/>
    </xf>
    <xf numFmtId="0" fontId="0" fillId="0" borderId="0" xfId="0" applyFont="1" applyAlignment="1" applyProtection="1">
      <alignment horizontal="right" vertical="center"/>
      <protection hidden="1"/>
    </xf>
    <xf numFmtId="10" fontId="0" fillId="0" borderId="0" xfId="0" applyNumberFormat="1" applyFont="1" applyAlignment="1" applyProtection="1">
      <alignment vertical="center"/>
      <protection hidden="1"/>
    </xf>
    <xf numFmtId="2" fontId="0" fillId="0" borderId="0" xfId="0" applyNumberFormat="1"/>
    <xf numFmtId="2" fontId="0" fillId="0" borderId="0" xfId="0" applyNumberFormat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3" fillId="0" borderId="0" xfId="0" applyFont="1" applyAlignment="1" applyProtection="1">
      <alignment horizontal="right" vertical="center"/>
      <protection hidden="1"/>
    </xf>
  </cellXfs>
  <cellStyles count="4">
    <cellStyle name="Bad" xfId="3" builtinId="27"/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4983D-160B-4C86-A682-063CFB463C7B}">
  <dimension ref="B1:H7"/>
  <sheetViews>
    <sheetView showGridLines="0" tabSelected="1" workbookViewId="0">
      <selection activeCell="H16" sqref="H16"/>
    </sheetView>
  </sheetViews>
  <sheetFormatPr defaultColWidth="12.42578125" defaultRowHeight="15" x14ac:dyDescent="0.25"/>
  <cols>
    <col min="1" max="1" width="3.140625" style="4" customWidth="1"/>
    <col min="2" max="2" width="14.28515625" style="4" customWidth="1"/>
    <col min="3" max="3" width="14.42578125" style="4" customWidth="1"/>
    <col min="4" max="4" width="3.140625" style="4" customWidth="1"/>
    <col min="5" max="5" width="12.42578125" style="4" customWidth="1"/>
    <col min="6" max="16384" width="12.42578125" style="4"/>
  </cols>
  <sheetData>
    <row r="1" spans="2:8" x14ac:dyDescent="0.25">
      <c r="B1" s="3" t="s">
        <v>7</v>
      </c>
      <c r="C1" s="3" t="s">
        <v>31</v>
      </c>
      <c r="E1" s="3"/>
      <c r="H1" s="3"/>
    </row>
    <row r="2" spans="2:8" x14ac:dyDescent="0.25">
      <c r="B2" s="3" t="s">
        <v>8</v>
      </c>
      <c r="C2" s="3" t="s">
        <v>9</v>
      </c>
      <c r="D2" s="3"/>
      <c r="E2" s="3"/>
    </row>
    <row r="4" spans="2:8" x14ac:dyDescent="0.25">
      <c r="B4" s="3" t="s">
        <v>10</v>
      </c>
      <c r="C4" s="19" t="s">
        <v>30</v>
      </c>
    </row>
    <row r="5" spans="2:8" x14ac:dyDescent="0.25">
      <c r="B5" s="3" t="s">
        <v>11</v>
      </c>
      <c r="D5" s="5" t="s">
        <v>12</v>
      </c>
      <c r="E5" s="20" t="s">
        <v>32</v>
      </c>
      <c r="F5" s="20"/>
    </row>
    <row r="6" spans="2:8" x14ac:dyDescent="0.25">
      <c r="D6" s="5"/>
      <c r="E6"/>
      <c r="F6"/>
    </row>
    <row r="7" spans="2:8" x14ac:dyDescent="0.25">
      <c r="D7" s="5"/>
      <c r="E7"/>
      <c r="F7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33499-9670-4B96-BC5D-C803DF5931D9}">
  <dimension ref="A1:P320"/>
  <sheetViews>
    <sheetView showGridLines="0" zoomScaleNormal="100" workbookViewId="0">
      <selection activeCell="C7" sqref="C7"/>
    </sheetView>
  </sheetViews>
  <sheetFormatPr defaultColWidth="8.7109375" defaultRowHeight="15" x14ac:dyDescent="0.25"/>
  <cols>
    <col min="1" max="1" width="8.7109375" style="1"/>
    <col min="2" max="2" width="5.85546875" style="1" bestFit="1" customWidth="1"/>
    <col min="3" max="3" width="10.140625" style="1" bestFit="1" customWidth="1"/>
    <col min="4" max="5" width="8.7109375" style="1"/>
    <col min="6" max="6" width="6.42578125" style="6" customWidth="1"/>
    <col min="7" max="7" width="12.42578125" style="1" customWidth="1"/>
    <col min="8" max="8" width="12.85546875" style="1" bestFit="1" customWidth="1"/>
    <col min="9" max="9" width="17" style="1" bestFit="1" customWidth="1"/>
    <col min="10" max="10" width="21.28515625" style="1" bestFit="1" customWidth="1"/>
    <col min="11" max="11" width="12.42578125" style="1" customWidth="1"/>
    <col min="12" max="12" width="8.7109375" style="1"/>
    <col min="13" max="13" width="9.42578125" style="1" bestFit="1" customWidth="1"/>
    <col min="14" max="14" width="12.28515625" style="1" bestFit="1" customWidth="1"/>
    <col min="15" max="15" width="16" style="1" bestFit="1" customWidth="1"/>
    <col min="16" max="16" width="20.28515625" style="1" bestFit="1" customWidth="1"/>
    <col min="17" max="17" width="12.28515625" style="1" bestFit="1" customWidth="1"/>
    <col min="18" max="18" width="16" style="1" bestFit="1" customWidth="1"/>
    <col min="19" max="19" width="20.28515625" style="1" bestFit="1" customWidth="1"/>
    <col min="20" max="16384" width="8.7109375" style="1"/>
  </cols>
  <sheetData>
    <row r="1" spans="1:16" x14ac:dyDescent="0.25">
      <c r="A1" s="1" t="s">
        <v>13</v>
      </c>
      <c r="E1" s="1" t="s">
        <v>17</v>
      </c>
    </row>
    <row r="2" spans="1:16" x14ac:dyDescent="0.25">
      <c r="B2" s="2" t="s">
        <v>15</v>
      </c>
      <c r="C2" s="13">
        <v>20000</v>
      </c>
      <c r="F2" s="8" t="s">
        <v>0</v>
      </c>
      <c r="G2" s="8" t="s">
        <v>1</v>
      </c>
      <c r="H2" s="8" t="s">
        <v>2</v>
      </c>
      <c r="I2" s="8" t="s">
        <v>3</v>
      </c>
      <c r="J2" s="8" t="s">
        <v>4</v>
      </c>
      <c r="L2"/>
      <c r="M2"/>
      <c r="N2"/>
      <c r="O2"/>
      <c r="P2"/>
    </row>
    <row r="3" spans="1:16" x14ac:dyDescent="0.25">
      <c r="B3" s="2" t="s">
        <v>14</v>
      </c>
      <c r="C3" s="14">
        <v>0.05</v>
      </c>
      <c r="F3" s="9">
        <v>0</v>
      </c>
      <c r="G3" s="10"/>
      <c r="H3" s="11"/>
      <c r="I3" s="11"/>
      <c r="J3" s="12">
        <f>C2</f>
        <v>20000</v>
      </c>
      <c r="L3" s="9"/>
      <c r="M3" s="10"/>
      <c r="N3" s="11"/>
      <c r="O3" s="11"/>
      <c r="P3" s="12"/>
    </row>
    <row r="4" spans="1:16" x14ac:dyDescent="0.25">
      <c r="B4" s="2" t="s">
        <v>6</v>
      </c>
      <c r="C4" s="15">
        <v>10</v>
      </c>
      <c r="F4" s="9">
        <f>IF(F3&lt;$C$4, F3+1,"")</f>
        <v>1</v>
      </c>
      <c r="G4" s="10">
        <f>IF(F3&lt;$C$4,$C$7*(1+$C$5)^(F4-1),"")</f>
        <v>2384.3285753320447</v>
      </c>
      <c r="H4" s="12">
        <f>IF(F3&lt;$C$4, J3*$C$3,"")</f>
        <v>1000</v>
      </c>
      <c r="I4" s="12">
        <f>IF(F3&lt;$C$4,G4-H4,"")</f>
        <v>1384.3285753320447</v>
      </c>
      <c r="J4" s="12">
        <f>IF(F3&lt;$C$4, J3-I4,"")</f>
        <v>18615.671424667955</v>
      </c>
      <c r="L4" s="9"/>
      <c r="M4" s="10"/>
      <c r="N4" s="12"/>
      <c r="O4" s="12"/>
      <c r="P4" s="12"/>
    </row>
    <row r="5" spans="1:16" x14ac:dyDescent="0.25">
      <c r="B5" s="2" t="s">
        <v>16</v>
      </c>
      <c r="C5" s="14">
        <v>0.02</v>
      </c>
      <c r="F5" s="9">
        <f t="shared" ref="F5:F68" si="0">IF(F4&lt;$C$4, F4+1,"")</f>
        <v>2</v>
      </c>
      <c r="G5" s="10">
        <f>IF(F4&lt;$C$4,$C$7*(1+$C$5)^(F5-1),"")</f>
        <v>2432.0151468386857</v>
      </c>
      <c r="H5" s="12">
        <f t="shared" ref="H5:H68" si="1">IF(F4&lt;$C$4, J4*$C$3,"")</f>
        <v>930.78357123339777</v>
      </c>
      <c r="I5" s="12">
        <f t="shared" ref="I5:I68" si="2">IF(F4&lt;$C$4,G5-H5,"")</f>
        <v>1501.2315756052881</v>
      </c>
      <c r="J5" s="12">
        <f t="shared" ref="J5:J68" si="3">IF(F4&lt;$C$4, J4-I5,"")</f>
        <v>17114.439849062666</v>
      </c>
      <c r="L5" s="9"/>
      <c r="M5" s="10"/>
      <c r="N5" s="12"/>
      <c r="O5" s="12"/>
      <c r="P5" s="12"/>
    </row>
    <row r="6" spans="1:16" x14ac:dyDescent="0.25">
      <c r="B6" t="s">
        <v>33</v>
      </c>
      <c r="C6">
        <f>(C3-C5)/(1+C5)</f>
        <v>2.9411764705882356E-2</v>
      </c>
      <c r="F6" s="9">
        <f t="shared" si="0"/>
        <v>3</v>
      </c>
      <c r="G6" s="10">
        <f t="shared" ref="G6:G68" si="4">IF(F5&lt;$C$4,$C$7*(1+$C$5)^(F6-1),"")</f>
        <v>2480.6554497754591</v>
      </c>
      <c r="H6" s="12">
        <f t="shared" si="1"/>
        <v>855.72199245313334</v>
      </c>
      <c r="I6" s="12">
        <f t="shared" si="2"/>
        <v>1624.9334573223259</v>
      </c>
      <c r="J6" s="12">
        <f t="shared" si="3"/>
        <v>15489.50639174034</v>
      </c>
      <c r="L6" s="9"/>
      <c r="M6" s="10"/>
      <c r="N6" s="12"/>
      <c r="O6" s="12"/>
      <c r="P6" s="12"/>
    </row>
    <row r="7" spans="1:16" x14ac:dyDescent="0.25">
      <c r="B7" s="1" t="s">
        <v>34</v>
      </c>
      <c r="C7" s="1">
        <f>C2/((((1-((1+C6)^-C4)))/C6)/(1+C5))</f>
        <v>2384.3285753320447</v>
      </c>
      <c r="F7" s="9">
        <f t="shared" si="0"/>
        <v>4</v>
      </c>
      <c r="G7" s="10">
        <f t="shared" si="4"/>
        <v>2530.2685587709684</v>
      </c>
      <c r="H7" s="12">
        <f t="shared" si="1"/>
        <v>774.47531958701711</v>
      </c>
      <c r="I7" s="12">
        <f t="shared" si="2"/>
        <v>1755.7932391839513</v>
      </c>
      <c r="J7" s="12">
        <f t="shared" si="3"/>
        <v>13733.713152556389</v>
      </c>
      <c r="L7" s="9"/>
      <c r="M7" s="10"/>
      <c r="N7" s="12"/>
      <c r="O7" s="12"/>
      <c r="P7" s="12"/>
    </row>
    <row r="8" spans="1:16" x14ac:dyDescent="0.25">
      <c r="F8" s="9">
        <f t="shared" si="0"/>
        <v>5</v>
      </c>
      <c r="G8" s="10">
        <f t="shared" si="4"/>
        <v>2580.8739299463878</v>
      </c>
      <c r="H8" s="12">
        <f t="shared" si="1"/>
        <v>686.68565762781952</v>
      </c>
      <c r="I8" s="12">
        <f t="shared" si="2"/>
        <v>1894.1882723185681</v>
      </c>
      <c r="J8" s="12">
        <f t="shared" si="3"/>
        <v>11839.524880237821</v>
      </c>
      <c r="L8" s="9"/>
      <c r="M8" s="10"/>
      <c r="N8" s="12"/>
      <c r="O8" s="12"/>
      <c r="P8" s="12"/>
    </row>
    <row r="9" spans="1:16" x14ac:dyDescent="0.25">
      <c r="F9" s="9">
        <f t="shared" si="0"/>
        <v>6</v>
      </c>
      <c r="G9" s="10">
        <f t="shared" si="4"/>
        <v>2632.4914085453156</v>
      </c>
      <c r="H9" s="12">
        <f t="shared" si="1"/>
        <v>591.97624401189103</v>
      </c>
      <c r="I9" s="12">
        <f t="shared" si="2"/>
        <v>2040.5151645334245</v>
      </c>
      <c r="J9" s="12">
        <f t="shared" si="3"/>
        <v>9799.0097157043965</v>
      </c>
      <c r="L9" s="9"/>
      <c r="M9" s="10"/>
      <c r="N9" s="12"/>
      <c r="O9" s="12"/>
      <c r="P9" s="12"/>
    </row>
    <row r="10" spans="1:16" x14ac:dyDescent="0.25">
      <c r="F10" s="9">
        <f t="shared" si="0"/>
        <v>7</v>
      </c>
      <c r="G10" s="10">
        <f t="shared" si="4"/>
        <v>2685.141236716222</v>
      </c>
      <c r="H10" s="12">
        <f t="shared" si="1"/>
        <v>489.95048578521983</v>
      </c>
      <c r="I10" s="12">
        <f t="shared" si="2"/>
        <v>2195.1907509310022</v>
      </c>
      <c r="J10" s="12">
        <f t="shared" si="3"/>
        <v>7603.8189647733943</v>
      </c>
      <c r="L10" s="9"/>
      <c r="M10" s="10"/>
      <c r="N10" s="12"/>
      <c r="O10" s="12"/>
      <c r="P10" s="12"/>
    </row>
    <row r="11" spans="1:16" x14ac:dyDescent="0.25">
      <c r="F11" s="9">
        <f t="shared" si="0"/>
        <v>8</v>
      </c>
      <c r="G11" s="10">
        <f t="shared" si="4"/>
        <v>2738.8440614505457</v>
      </c>
      <c r="H11" s="12">
        <f t="shared" si="1"/>
        <v>380.19094823866976</v>
      </c>
      <c r="I11" s="12">
        <f t="shared" si="2"/>
        <v>2358.6531132118762</v>
      </c>
      <c r="J11" s="12">
        <f t="shared" si="3"/>
        <v>5245.1658515615181</v>
      </c>
      <c r="L11" s="9"/>
      <c r="M11" s="10"/>
      <c r="N11" s="12"/>
      <c r="O11" s="12"/>
      <c r="P11" s="12"/>
    </row>
    <row r="12" spans="1:16" x14ac:dyDescent="0.25">
      <c r="F12" s="9">
        <f t="shared" si="0"/>
        <v>9</v>
      </c>
      <c r="G12" s="10">
        <f t="shared" si="4"/>
        <v>2793.6209426795572</v>
      </c>
      <c r="H12" s="12">
        <f t="shared" si="1"/>
        <v>262.2582925780759</v>
      </c>
      <c r="I12" s="12">
        <f t="shared" si="2"/>
        <v>2531.3626501014814</v>
      </c>
      <c r="J12" s="12">
        <f t="shared" si="3"/>
        <v>2713.8032014600367</v>
      </c>
    </row>
    <row r="13" spans="1:16" x14ac:dyDescent="0.25">
      <c r="F13" s="9">
        <f t="shared" si="0"/>
        <v>10</v>
      </c>
      <c r="G13" s="10">
        <f t="shared" si="4"/>
        <v>2849.4933615331483</v>
      </c>
      <c r="H13" s="12">
        <f t="shared" si="1"/>
        <v>135.69016007300183</v>
      </c>
      <c r="I13" s="12">
        <f t="shared" si="2"/>
        <v>2713.8032014601467</v>
      </c>
      <c r="J13" s="12">
        <f>IF(F12&lt;$C$4, J12-I13,"")</f>
        <v>-1.1004885891452432E-10</v>
      </c>
    </row>
    <row r="14" spans="1:16" x14ac:dyDescent="0.25">
      <c r="F14" s="9" t="str">
        <f t="shared" si="0"/>
        <v/>
      </c>
      <c r="G14" s="10" t="str">
        <f t="shared" si="4"/>
        <v/>
      </c>
      <c r="H14" s="12" t="str">
        <f t="shared" si="1"/>
        <v/>
      </c>
      <c r="I14" s="12" t="str">
        <f t="shared" si="2"/>
        <v/>
      </c>
      <c r="J14" s="12" t="str">
        <f t="shared" si="3"/>
        <v/>
      </c>
    </row>
    <row r="15" spans="1:16" x14ac:dyDescent="0.25">
      <c r="F15" s="9" t="str">
        <f t="shared" si="0"/>
        <v/>
      </c>
      <c r="G15" s="10" t="str">
        <f t="shared" si="4"/>
        <v/>
      </c>
      <c r="H15" s="12" t="str">
        <f t="shared" si="1"/>
        <v/>
      </c>
      <c r="I15" s="12" t="str">
        <f t="shared" si="2"/>
        <v/>
      </c>
      <c r="J15" s="12" t="str">
        <f t="shared" si="3"/>
        <v/>
      </c>
    </row>
    <row r="16" spans="1:16" x14ac:dyDescent="0.25">
      <c r="F16" s="9" t="str">
        <f t="shared" si="0"/>
        <v/>
      </c>
      <c r="G16" s="10" t="str">
        <f t="shared" si="4"/>
        <v/>
      </c>
      <c r="H16" s="12" t="str">
        <f t="shared" si="1"/>
        <v/>
      </c>
      <c r="I16" s="12" t="str">
        <f t="shared" si="2"/>
        <v/>
      </c>
      <c r="J16" s="12" t="str">
        <f t="shared" si="3"/>
        <v/>
      </c>
      <c r="N16" s="10"/>
    </row>
    <row r="17" spans="6:16" x14ac:dyDescent="0.25">
      <c r="F17" s="9" t="str">
        <f t="shared" si="0"/>
        <v/>
      </c>
      <c r="G17" s="10" t="str">
        <f t="shared" si="4"/>
        <v/>
      </c>
      <c r="H17" s="12" t="str">
        <f t="shared" si="1"/>
        <v/>
      </c>
      <c r="I17" s="12" t="str">
        <f t="shared" si="2"/>
        <v/>
      </c>
      <c r="J17" s="12" t="str">
        <f t="shared" si="3"/>
        <v/>
      </c>
    </row>
    <row r="18" spans="6:16" x14ac:dyDescent="0.25">
      <c r="F18" s="9" t="str">
        <f t="shared" si="0"/>
        <v/>
      </c>
      <c r="G18" s="10" t="str">
        <f t="shared" si="4"/>
        <v/>
      </c>
      <c r="H18" s="12" t="str">
        <f t="shared" si="1"/>
        <v/>
      </c>
      <c r="I18" s="12" t="str">
        <f t="shared" si="2"/>
        <v/>
      </c>
      <c r="J18" s="12" t="str">
        <f t="shared" si="3"/>
        <v/>
      </c>
    </row>
    <row r="19" spans="6:16" x14ac:dyDescent="0.25">
      <c r="F19" s="9" t="str">
        <f t="shared" si="0"/>
        <v/>
      </c>
      <c r="G19" s="10" t="str">
        <f t="shared" si="4"/>
        <v/>
      </c>
      <c r="H19" s="12" t="str">
        <f t="shared" si="1"/>
        <v/>
      </c>
      <c r="I19" s="12" t="str">
        <f t="shared" si="2"/>
        <v/>
      </c>
      <c r="J19" s="12" t="str">
        <f t="shared" si="3"/>
        <v/>
      </c>
      <c r="P19" s="21"/>
    </row>
    <row r="20" spans="6:16" x14ac:dyDescent="0.25">
      <c r="F20" s="9" t="str">
        <f t="shared" si="0"/>
        <v/>
      </c>
      <c r="G20" s="10" t="str">
        <f t="shared" si="4"/>
        <v/>
      </c>
      <c r="H20" s="12" t="str">
        <f t="shared" si="1"/>
        <v/>
      </c>
      <c r="I20" s="12" t="str">
        <f t="shared" si="2"/>
        <v/>
      </c>
      <c r="J20" s="12" t="str">
        <f t="shared" si="3"/>
        <v/>
      </c>
    </row>
    <row r="21" spans="6:16" x14ac:dyDescent="0.25">
      <c r="F21" s="9" t="str">
        <f t="shared" si="0"/>
        <v/>
      </c>
      <c r="G21" s="10" t="str">
        <f t="shared" si="4"/>
        <v/>
      </c>
      <c r="H21" s="12" t="str">
        <f t="shared" si="1"/>
        <v/>
      </c>
      <c r="I21" s="12" t="str">
        <f t="shared" si="2"/>
        <v/>
      </c>
      <c r="J21" s="12" t="str">
        <f t="shared" si="3"/>
        <v/>
      </c>
    </row>
    <row r="22" spans="6:16" x14ac:dyDescent="0.25">
      <c r="F22" s="9" t="str">
        <f t="shared" si="0"/>
        <v/>
      </c>
      <c r="G22" s="10" t="str">
        <f t="shared" si="4"/>
        <v/>
      </c>
      <c r="H22" s="12" t="str">
        <f t="shared" si="1"/>
        <v/>
      </c>
      <c r="I22" s="12" t="str">
        <f t="shared" si="2"/>
        <v/>
      </c>
      <c r="J22" s="12" t="str">
        <f t="shared" si="3"/>
        <v/>
      </c>
    </row>
    <row r="23" spans="6:16" x14ac:dyDescent="0.25">
      <c r="F23" s="9" t="str">
        <f t="shared" si="0"/>
        <v/>
      </c>
      <c r="G23" s="10" t="str">
        <f t="shared" si="4"/>
        <v/>
      </c>
      <c r="H23" s="12" t="str">
        <f t="shared" si="1"/>
        <v/>
      </c>
      <c r="I23" s="12" t="str">
        <f t="shared" si="2"/>
        <v/>
      </c>
      <c r="J23" s="12" t="str">
        <f t="shared" si="3"/>
        <v/>
      </c>
      <c r="P23" s="21"/>
    </row>
    <row r="24" spans="6:16" x14ac:dyDescent="0.25">
      <c r="F24" s="9" t="str">
        <f t="shared" si="0"/>
        <v/>
      </c>
      <c r="G24" s="10" t="str">
        <f t="shared" si="4"/>
        <v/>
      </c>
      <c r="H24" s="12" t="str">
        <f t="shared" si="1"/>
        <v/>
      </c>
      <c r="I24" s="12" t="str">
        <f t="shared" si="2"/>
        <v/>
      </c>
      <c r="J24" s="12" t="str">
        <f t="shared" si="3"/>
        <v/>
      </c>
    </row>
    <row r="25" spans="6:16" x14ac:dyDescent="0.25">
      <c r="F25" s="9" t="str">
        <f t="shared" si="0"/>
        <v/>
      </c>
      <c r="G25" s="10" t="str">
        <f t="shared" si="4"/>
        <v/>
      </c>
      <c r="H25" s="12" t="str">
        <f t="shared" si="1"/>
        <v/>
      </c>
      <c r="I25" s="12" t="str">
        <f t="shared" si="2"/>
        <v/>
      </c>
      <c r="J25" s="12" t="str">
        <f t="shared" si="3"/>
        <v/>
      </c>
    </row>
    <row r="26" spans="6:16" x14ac:dyDescent="0.25">
      <c r="F26" s="9" t="str">
        <f t="shared" si="0"/>
        <v/>
      </c>
      <c r="G26" s="10" t="str">
        <f t="shared" si="4"/>
        <v/>
      </c>
      <c r="H26" s="12" t="str">
        <f t="shared" si="1"/>
        <v/>
      </c>
      <c r="I26" s="12" t="str">
        <f t="shared" si="2"/>
        <v/>
      </c>
      <c r="J26" s="12" t="str">
        <f t="shared" si="3"/>
        <v/>
      </c>
    </row>
    <row r="27" spans="6:16" x14ac:dyDescent="0.25">
      <c r="F27" s="9" t="str">
        <f t="shared" si="0"/>
        <v/>
      </c>
      <c r="G27" s="10" t="str">
        <f t="shared" si="4"/>
        <v/>
      </c>
      <c r="H27" s="12" t="str">
        <f t="shared" si="1"/>
        <v/>
      </c>
      <c r="I27" s="12" t="str">
        <f t="shared" si="2"/>
        <v/>
      </c>
      <c r="J27" s="12" t="str">
        <f t="shared" si="3"/>
        <v/>
      </c>
    </row>
    <row r="28" spans="6:16" x14ac:dyDescent="0.25">
      <c r="F28" s="9" t="str">
        <f t="shared" si="0"/>
        <v/>
      </c>
      <c r="G28" s="10" t="str">
        <f t="shared" si="4"/>
        <v/>
      </c>
      <c r="H28" s="12" t="str">
        <f t="shared" si="1"/>
        <v/>
      </c>
      <c r="I28" s="12" t="str">
        <f t="shared" si="2"/>
        <v/>
      </c>
      <c r="J28" s="12" t="str">
        <f t="shared" si="3"/>
        <v/>
      </c>
    </row>
    <row r="29" spans="6:16" x14ac:dyDescent="0.25">
      <c r="F29" s="9" t="str">
        <f t="shared" si="0"/>
        <v/>
      </c>
      <c r="G29" s="10" t="str">
        <f t="shared" si="4"/>
        <v/>
      </c>
      <c r="H29" s="12" t="str">
        <f t="shared" si="1"/>
        <v/>
      </c>
      <c r="I29" s="12" t="str">
        <f t="shared" si="2"/>
        <v/>
      </c>
      <c r="J29" s="12" t="str">
        <f t="shared" si="3"/>
        <v/>
      </c>
    </row>
    <row r="30" spans="6:16" x14ac:dyDescent="0.25">
      <c r="F30" s="9" t="str">
        <f t="shared" si="0"/>
        <v/>
      </c>
      <c r="G30" s="10" t="str">
        <f t="shared" si="4"/>
        <v/>
      </c>
      <c r="H30" s="12" t="str">
        <f t="shared" si="1"/>
        <v/>
      </c>
      <c r="I30" s="12" t="str">
        <f t="shared" si="2"/>
        <v/>
      </c>
      <c r="J30" s="12" t="str">
        <f t="shared" si="3"/>
        <v/>
      </c>
    </row>
    <row r="31" spans="6:16" x14ac:dyDescent="0.25">
      <c r="F31" s="9" t="str">
        <f t="shared" si="0"/>
        <v/>
      </c>
      <c r="G31" s="10" t="str">
        <f t="shared" si="4"/>
        <v/>
      </c>
      <c r="H31" s="12" t="str">
        <f t="shared" si="1"/>
        <v/>
      </c>
      <c r="I31" s="12" t="str">
        <f t="shared" si="2"/>
        <v/>
      </c>
      <c r="J31" s="12" t="str">
        <f t="shared" si="3"/>
        <v/>
      </c>
    </row>
    <row r="32" spans="6:16" x14ac:dyDescent="0.25">
      <c r="F32" s="9" t="str">
        <f t="shared" si="0"/>
        <v/>
      </c>
      <c r="G32" s="10" t="str">
        <f t="shared" si="4"/>
        <v/>
      </c>
      <c r="H32" s="12" t="str">
        <f t="shared" si="1"/>
        <v/>
      </c>
      <c r="I32" s="12" t="str">
        <f t="shared" si="2"/>
        <v/>
      </c>
      <c r="J32" s="12" t="str">
        <f t="shared" si="3"/>
        <v/>
      </c>
    </row>
    <row r="33" spans="6:10" x14ac:dyDescent="0.25">
      <c r="F33" s="9" t="str">
        <f t="shared" si="0"/>
        <v/>
      </c>
      <c r="G33" s="10" t="str">
        <f t="shared" si="4"/>
        <v/>
      </c>
      <c r="H33" s="12" t="str">
        <f t="shared" si="1"/>
        <v/>
      </c>
      <c r="I33" s="12" t="str">
        <f t="shared" si="2"/>
        <v/>
      </c>
      <c r="J33" s="12" t="str">
        <f t="shared" si="3"/>
        <v/>
      </c>
    </row>
    <row r="34" spans="6:10" x14ac:dyDescent="0.25">
      <c r="F34" s="9" t="str">
        <f t="shared" si="0"/>
        <v/>
      </c>
      <c r="G34" s="10" t="str">
        <f t="shared" si="4"/>
        <v/>
      </c>
      <c r="H34" s="12" t="str">
        <f t="shared" si="1"/>
        <v/>
      </c>
      <c r="I34" s="12" t="str">
        <f t="shared" si="2"/>
        <v/>
      </c>
      <c r="J34" s="12" t="str">
        <f t="shared" si="3"/>
        <v/>
      </c>
    </row>
    <row r="35" spans="6:10" x14ac:dyDescent="0.25">
      <c r="F35" s="9" t="str">
        <f t="shared" si="0"/>
        <v/>
      </c>
      <c r="G35" s="10" t="str">
        <f t="shared" si="4"/>
        <v/>
      </c>
      <c r="H35" s="12" t="str">
        <f t="shared" si="1"/>
        <v/>
      </c>
      <c r="I35" s="12" t="str">
        <f t="shared" si="2"/>
        <v/>
      </c>
      <c r="J35" s="12" t="str">
        <f t="shared" si="3"/>
        <v/>
      </c>
    </row>
    <row r="36" spans="6:10" x14ac:dyDescent="0.25">
      <c r="F36" s="9" t="str">
        <f t="shared" si="0"/>
        <v/>
      </c>
      <c r="G36" s="10" t="str">
        <f t="shared" si="4"/>
        <v/>
      </c>
      <c r="H36" s="12" t="str">
        <f t="shared" si="1"/>
        <v/>
      </c>
      <c r="I36" s="12" t="str">
        <f t="shared" si="2"/>
        <v/>
      </c>
      <c r="J36" s="12" t="str">
        <f t="shared" si="3"/>
        <v/>
      </c>
    </row>
    <row r="37" spans="6:10" x14ac:dyDescent="0.25">
      <c r="F37" s="9" t="str">
        <f t="shared" si="0"/>
        <v/>
      </c>
      <c r="G37" s="10" t="str">
        <f t="shared" si="4"/>
        <v/>
      </c>
      <c r="H37" s="12" t="str">
        <f t="shared" si="1"/>
        <v/>
      </c>
      <c r="I37" s="12" t="str">
        <f t="shared" si="2"/>
        <v/>
      </c>
      <c r="J37" s="12" t="str">
        <f t="shared" si="3"/>
        <v/>
      </c>
    </row>
    <row r="38" spans="6:10" x14ac:dyDescent="0.25">
      <c r="F38" s="9" t="str">
        <f t="shared" si="0"/>
        <v/>
      </c>
      <c r="G38" s="10" t="str">
        <f t="shared" si="4"/>
        <v/>
      </c>
      <c r="H38" s="12" t="str">
        <f t="shared" si="1"/>
        <v/>
      </c>
      <c r="I38" s="12" t="str">
        <f t="shared" si="2"/>
        <v/>
      </c>
      <c r="J38" s="12" t="str">
        <f t="shared" si="3"/>
        <v/>
      </c>
    </row>
    <row r="39" spans="6:10" x14ac:dyDescent="0.25">
      <c r="F39" s="9" t="str">
        <f t="shared" si="0"/>
        <v/>
      </c>
      <c r="G39" s="10" t="str">
        <f t="shared" si="4"/>
        <v/>
      </c>
      <c r="H39" s="12" t="str">
        <f t="shared" si="1"/>
        <v/>
      </c>
      <c r="I39" s="12" t="str">
        <f t="shared" si="2"/>
        <v/>
      </c>
      <c r="J39" s="12" t="str">
        <f t="shared" si="3"/>
        <v/>
      </c>
    </row>
    <row r="40" spans="6:10" x14ac:dyDescent="0.25">
      <c r="F40" s="9" t="str">
        <f t="shared" si="0"/>
        <v/>
      </c>
      <c r="G40" s="10" t="str">
        <f t="shared" si="4"/>
        <v/>
      </c>
      <c r="H40" s="12" t="str">
        <f t="shared" si="1"/>
        <v/>
      </c>
      <c r="I40" s="12" t="str">
        <f t="shared" si="2"/>
        <v/>
      </c>
      <c r="J40" s="12" t="str">
        <f t="shared" si="3"/>
        <v/>
      </c>
    </row>
    <row r="41" spans="6:10" x14ac:dyDescent="0.25">
      <c r="F41" s="9" t="str">
        <f t="shared" si="0"/>
        <v/>
      </c>
      <c r="G41" s="10" t="str">
        <f t="shared" si="4"/>
        <v/>
      </c>
      <c r="H41" s="12" t="str">
        <f t="shared" si="1"/>
        <v/>
      </c>
      <c r="I41" s="12" t="str">
        <f t="shared" si="2"/>
        <v/>
      </c>
      <c r="J41" s="12" t="str">
        <f t="shared" si="3"/>
        <v/>
      </c>
    </row>
    <row r="42" spans="6:10" x14ac:dyDescent="0.25">
      <c r="F42" s="9" t="str">
        <f t="shared" si="0"/>
        <v/>
      </c>
      <c r="G42" s="10" t="str">
        <f t="shared" si="4"/>
        <v/>
      </c>
      <c r="H42" s="12" t="str">
        <f t="shared" si="1"/>
        <v/>
      </c>
      <c r="I42" s="12" t="str">
        <f t="shared" si="2"/>
        <v/>
      </c>
      <c r="J42" s="12" t="str">
        <f t="shared" si="3"/>
        <v/>
      </c>
    </row>
    <row r="43" spans="6:10" x14ac:dyDescent="0.25">
      <c r="F43" s="9" t="str">
        <f t="shared" si="0"/>
        <v/>
      </c>
      <c r="G43" s="10" t="str">
        <f t="shared" si="4"/>
        <v/>
      </c>
      <c r="H43" s="12" t="str">
        <f t="shared" si="1"/>
        <v/>
      </c>
      <c r="I43" s="12" t="str">
        <f t="shared" si="2"/>
        <v/>
      </c>
      <c r="J43" s="12" t="str">
        <f t="shared" si="3"/>
        <v/>
      </c>
    </row>
    <row r="44" spans="6:10" x14ac:dyDescent="0.25">
      <c r="F44" s="9" t="str">
        <f t="shared" si="0"/>
        <v/>
      </c>
      <c r="G44" s="10" t="str">
        <f t="shared" si="4"/>
        <v/>
      </c>
      <c r="H44" s="12" t="str">
        <f t="shared" si="1"/>
        <v/>
      </c>
      <c r="I44" s="12" t="str">
        <f t="shared" si="2"/>
        <v/>
      </c>
      <c r="J44" s="12" t="str">
        <f t="shared" si="3"/>
        <v/>
      </c>
    </row>
    <row r="45" spans="6:10" x14ac:dyDescent="0.25">
      <c r="F45" s="9" t="str">
        <f t="shared" si="0"/>
        <v/>
      </c>
      <c r="G45" s="10" t="str">
        <f t="shared" si="4"/>
        <v/>
      </c>
      <c r="H45" s="12" t="str">
        <f t="shared" si="1"/>
        <v/>
      </c>
      <c r="I45" s="12" t="str">
        <f t="shared" si="2"/>
        <v/>
      </c>
      <c r="J45" s="12" t="str">
        <f t="shared" si="3"/>
        <v/>
      </c>
    </row>
    <row r="46" spans="6:10" x14ac:dyDescent="0.25">
      <c r="F46" s="9" t="str">
        <f t="shared" si="0"/>
        <v/>
      </c>
      <c r="G46" s="10" t="str">
        <f t="shared" si="4"/>
        <v/>
      </c>
      <c r="H46" s="12" t="str">
        <f t="shared" si="1"/>
        <v/>
      </c>
      <c r="I46" s="12" t="str">
        <f t="shared" si="2"/>
        <v/>
      </c>
      <c r="J46" s="12" t="str">
        <f t="shared" si="3"/>
        <v/>
      </c>
    </row>
    <row r="47" spans="6:10" x14ac:dyDescent="0.25">
      <c r="F47" s="9" t="str">
        <f t="shared" si="0"/>
        <v/>
      </c>
      <c r="G47" s="10" t="str">
        <f t="shared" si="4"/>
        <v/>
      </c>
      <c r="H47" s="12" t="str">
        <f t="shared" si="1"/>
        <v/>
      </c>
      <c r="I47" s="12" t="str">
        <f t="shared" si="2"/>
        <v/>
      </c>
      <c r="J47" s="12" t="str">
        <f t="shared" si="3"/>
        <v/>
      </c>
    </row>
    <row r="48" spans="6:10" x14ac:dyDescent="0.25">
      <c r="F48" s="9" t="str">
        <f t="shared" si="0"/>
        <v/>
      </c>
      <c r="G48" s="10" t="str">
        <f t="shared" si="4"/>
        <v/>
      </c>
      <c r="H48" s="12" t="str">
        <f t="shared" si="1"/>
        <v/>
      </c>
      <c r="I48" s="12" t="str">
        <f t="shared" si="2"/>
        <v/>
      </c>
      <c r="J48" s="12" t="str">
        <f t="shared" si="3"/>
        <v/>
      </c>
    </row>
    <row r="49" spans="6:10" x14ac:dyDescent="0.25">
      <c r="F49" s="9" t="str">
        <f t="shared" si="0"/>
        <v/>
      </c>
      <c r="G49" s="10" t="str">
        <f t="shared" si="4"/>
        <v/>
      </c>
      <c r="H49" s="12" t="str">
        <f t="shared" si="1"/>
        <v/>
      </c>
      <c r="I49" s="12" t="str">
        <f t="shared" si="2"/>
        <v/>
      </c>
      <c r="J49" s="12" t="str">
        <f t="shared" si="3"/>
        <v/>
      </c>
    </row>
    <row r="50" spans="6:10" x14ac:dyDescent="0.25">
      <c r="F50" s="9" t="str">
        <f t="shared" si="0"/>
        <v/>
      </c>
      <c r="G50" s="10" t="str">
        <f t="shared" si="4"/>
        <v/>
      </c>
      <c r="H50" s="12" t="str">
        <f t="shared" si="1"/>
        <v/>
      </c>
      <c r="I50" s="12" t="str">
        <f t="shared" si="2"/>
        <v/>
      </c>
      <c r="J50" s="12" t="str">
        <f t="shared" si="3"/>
        <v/>
      </c>
    </row>
    <row r="51" spans="6:10" x14ac:dyDescent="0.25">
      <c r="F51" s="9" t="str">
        <f t="shared" si="0"/>
        <v/>
      </c>
      <c r="G51" s="10" t="str">
        <f t="shared" si="4"/>
        <v/>
      </c>
      <c r="H51" s="12" t="str">
        <f t="shared" si="1"/>
        <v/>
      </c>
      <c r="I51" s="12" t="str">
        <f t="shared" si="2"/>
        <v/>
      </c>
      <c r="J51" s="12" t="str">
        <f t="shared" si="3"/>
        <v/>
      </c>
    </row>
    <row r="52" spans="6:10" x14ac:dyDescent="0.25">
      <c r="F52" s="9" t="str">
        <f t="shared" si="0"/>
        <v/>
      </c>
      <c r="G52" s="10" t="str">
        <f t="shared" si="4"/>
        <v/>
      </c>
      <c r="H52" s="12" t="str">
        <f t="shared" si="1"/>
        <v/>
      </c>
      <c r="I52" s="12" t="str">
        <f t="shared" si="2"/>
        <v/>
      </c>
      <c r="J52" s="12" t="str">
        <f t="shared" si="3"/>
        <v/>
      </c>
    </row>
    <row r="53" spans="6:10" x14ac:dyDescent="0.25">
      <c r="F53" s="9" t="str">
        <f t="shared" si="0"/>
        <v/>
      </c>
      <c r="G53" s="10" t="str">
        <f t="shared" si="4"/>
        <v/>
      </c>
      <c r="H53" s="12" t="str">
        <f t="shared" si="1"/>
        <v/>
      </c>
      <c r="I53" s="12" t="str">
        <f t="shared" si="2"/>
        <v/>
      </c>
      <c r="J53" s="12" t="str">
        <f t="shared" si="3"/>
        <v/>
      </c>
    </row>
    <row r="54" spans="6:10" x14ac:dyDescent="0.25">
      <c r="F54" s="9" t="str">
        <f t="shared" si="0"/>
        <v/>
      </c>
      <c r="G54" s="10" t="str">
        <f t="shared" si="4"/>
        <v/>
      </c>
      <c r="H54" s="12" t="str">
        <f t="shared" si="1"/>
        <v/>
      </c>
      <c r="I54" s="12" t="str">
        <f t="shared" si="2"/>
        <v/>
      </c>
      <c r="J54" s="12" t="str">
        <f t="shared" si="3"/>
        <v/>
      </c>
    </row>
    <row r="55" spans="6:10" x14ac:dyDescent="0.25">
      <c r="F55" s="9" t="str">
        <f t="shared" si="0"/>
        <v/>
      </c>
      <c r="G55" s="10" t="str">
        <f t="shared" si="4"/>
        <v/>
      </c>
      <c r="H55" s="12" t="str">
        <f t="shared" si="1"/>
        <v/>
      </c>
      <c r="I55" s="12" t="str">
        <f t="shared" si="2"/>
        <v/>
      </c>
      <c r="J55" s="12" t="str">
        <f t="shared" si="3"/>
        <v/>
      </c>
    </row>
    <row r="56" spans="6:10" x14ac:dyDescent="0.25">
      <c r="F56" s="9" t="str">
        <f t="shared" si="0"/>
        <v/>
      </c>
      <c r="G56" s="10" t="str">
        <f t="shared" si="4"/>
        <v/>
      </c>
      <c r="H56" s="12" t="str">
        <f t="shared" si="1"/>
        <v/>
      </c>
      <c r="I56" s="12" t="str">
        <f t="shared" si="2"/>
        <v/>
      </c>
      <c r="J56" s="12" t="str">
        <f t="shared" si="3"/>
        <v/>
      </c>
    </row>
    <row r="57" spans="6:10" x14ac:dyDescent="0.25">
      <c r="F57" s="9" t="str">
        <f t="shared" si="0"/>
        <v/>
      </c>
      <c r="G57" s="10" t="str">
        <f t="shared" si="4"/>
        <v/>
      </c>
      <c r="H57" s="12" t="str">
        <f t="shared" si="1"/>
        <v/>
      </c>
      <c r="I57" s="12" t="str">
        <f t="shared" si="2"/>
        <v/>
      </c>
      <c r="J57" s="12" t="str">
        <f t="shared" si="3"/>
        <v/>
      </c>
    </row>
    <row r="58" spans="6:10" x14ac:dyDescent="0.25">
      <c r="F58" s="9" t="str">
        <f t="shared" si="0"/>
        <v/>
      </c>
      <c r="G58" s="10" t="str">
        <f t="shared" si="4"/>
        <v/>
      </c>
      <c r="H58" s="12" t="str">
        <f t="shared" si="1"/>
        <v/>
      </c>
      <c r="I58" s="12" t="str">
        <f t="shared" si="2"/>
        <v/>
      </c>
      <c r="J58" s="12" t="str">
        <f t="shared" si="3"/>
        <v/>
      </c>
    </row>
    <row r="59" spans="6:10" x14ac:dyDescent="0.25">
      <c r="F59" s="9" t="str">
        <f t="shared" si="0"/>
        <v/>
      </c>
      <c r="G59" s="10" t="str">
        <f t="shared" si="4"/>
        <v/>
      </c>
      <c r="H59" s="12" t="str">
        <f t="shared" si="1"/>
        <v/>
      </c>
      <c r="I59" s="12" t="str">
        <f t="shared" si="2"/>
        <v/>
      </c>
      <c r="J59" s="12" t="str">
        <f t="shared" si="3"/>
        <v/>
      </c>
    </row>
    <row r="60" spans="6:10" x14ac:dyDescent="0.25">
      <c r="F60" s="9" t="str">
        <f t="shared" si="0"/>
        <v/>
      </c>
      <c r="G60" s="10" t="str">
        <f t="shared" si="4"/>
        <v/>
      </c>
      <c r="H60" s="12" t="str">
        <f t="shared" si="1"/>
        <v/>
      </c>
      <c r="I60" s="12" t="str">
        <f t="shared" si="2"/>
        <v/>
      </c>
      <c r="J60" s="12" t="str">
        <f t="shared" si="3"/>
        <v/>
      </c>
    </row>
    <row r="61" spans="6:10" x14ac:dyDescent="0.25">
      <c r="F61" s="9" t="str">
        <f t="shared" si="0"/>
        <v/>
      </c>
      <c r="G61" s="10" t="str">
        <f t="shared" si="4"/>
        <v/>
      </c>
      <c r="H61" s="12" t="str">
        <f t="shared" si="1"/>
        <v/>
      </c>
      <c r="I61" s="12" t="str">
        <f t="shared" si="2"/>
        <v/>
      </c>
      <c r="J61" s="12" t="str">
        <f t="shared" si="3"/>
        <v/>
      </c>
    </row>
    <row r="62" spans="6:10" x14ac:dyDescent="0.25">
      <c r="F62" s="9" t="str">
        <f t="shared" si="0"/>
        <v/>
      </c>
      <c r="G62" s="10" t="str">
        <f t="shared" si="4"/>
        <v/>
      </c>
      <c r="H62" s="12" t="str">
        <f t="shared" si="1"/>
        <v/>
      </c>
      <c r="I62" s="12" t="str">
        <f t="shared" si="2"/>
        <v/>
      </c>
      <c r="J62" s="12" t="str">
        <f t="shared" si="3"/>
        <v/>
      </c>
    </row>
    <row r="63" spans="6:10" x14ac:dyDescent="0.25">
      <c r="F63" s="9" t="str">
        <f t="shared" si="0"/>
        <v/>
      </c>
      <c r="G63" s="10" t="str">
        <f t="shared" si="4"/>
        <v/>
      </c>
      <c r="H63" s="12" t="str">
        <f t="shared" si="1"/>
        <v/>
      </c>
      <c r="I63" s="12" t="str">
        <f t="shared" si="2"/>
        <v/>
      </c>
      <c r="J63" s="12" t="str">
        <f t="shared" si="3"/>
        <v/>
      </c>
    </row>
    <row r="64" spans="6:10" x14ac:dyDescent="0.25">
      <c r="F64" s="9" t="str">
        <f t="shared" si="0"/>
        <v/>
      </c>
      <c r="G64" s="10" t="str">
        <f t="shared" si="4"/>
        <v/>
      </c>
      <c r="H64" s="12" t="str">
        <f t="shared" si="1"/>
        <v/>
      </c>
      <c r="I64" s="12" t="str">
        <f t="shared" si="2"/>
        <v/>
      </c>
      <c r="J64" s="12" t="str">
        <f t="shared" si="3"/>
        <v/>
      </c>
    </row>
    <row r="65" spans="6:10" x14ac:dyDescent="0.25">
      <c r="F65" s="9" t="str">
        <f t="shared" si="0"/>
        <v/>
      </c>
      <c r="G65" s="10" t="str">
        <f t="shared" si="4"/>
        <v/>
      </c>
      <c r="H65" s="12" t="str">
        <f t="shared" si="1"/>
        <v/>
      </c>
      <c r="I65" s="12" t="str">
        <f t="shared" si="2"/>
        <v/>
      </c>
      <c r="J65" s="12" t="str">
        <f t="shared" si="3"/>
        <v/>
      </c>
    </row>
    <row r="66" spans="6:10" x14ac:dyDescent="0.25">
      <c r="F66" s="9" t="str">
        <f t="shared" si="0"/>
        <v/>
      </c>
      <c r="G66" s="10" t="str">
        <f t="shared" si="4"/>
        <v/>
      </c>
      <c r="H66" s="12" t="str">
        <f t="shared" si="1"/>
        <v/>
      </c>
      <c r="I66" s="12" t="str">
        <f t="shared" si="2"/>
        <v/>
      </c>
      <c r="J66" s="12" t="str">
        <f t="shared" si="3"/>
        <v/>
      </c>
    </row>
    <row r="67" spans="6:10" x14ac:dyDescent="0.25">
      <c r="F67" s="9" t="str">
        <f t="shared" si="0"/>
        <v/>
      </c>
      <c r="G67" s="10" t="str">
        <f t="shared" si="4"/>
        <v/>
      </c>
      <c r="H67" s="12" t="str">
        <f t="shared" si="1"/>
        <v/>
      </c>
      <c r="I67" s="12" t="str">
        <f t="shared" si="2"/>
        <v/>
      </c>
      <c r="J67" s="12" t="str">
        <f t="shared" si="3"/>
        <v/>
      </c>
    </row>
    <row r="68" spans="6:10" x14ac:dyDescent="0.25">
      <c r="F68" s="9" t="str">
        <f t="shared" si="0"/>
        <v/>
      </c>
      <c r="G68" s="10" t="str">
        <f t="shared" si="4"/>
        <v/>
      </c>
      <c r="H68" s="12" t="str">
        <f t="shared" si="1"/>
        <v/>
      </c>
      <c r="I68" s="12" t="str">
        <f t="shared" si="2"/>
        <v/>
      </c>
      <c r="J68" s="12" t="str">
        <f t="shared" si="3"/>
        <v/>
      </c>
    </row>
    <row r="69" spans="6:10" x14ac:dyDescent="0.25">
      <c r="F69" s="9" t="str">
        <f t="shared" ref="F69:F132" si="5">IF(F68&lt;$C$4, F68+1,"")</f>
        <v/>
      </c>
      <c r="G69" s="10" t="str">
        <f t="shared" ref="G69:G132" si="6">IF(F68&lt;$C$4,$C$7*(1+$C$5)^(F69-1),"")</f>
        <v/>
      </c>
      <c r="H69" s="12" t="str">
        <f t="shared" ref="H69:H132" si="7">IF(F68&lt;$C$4, J68*$C$3,"")</f>
        <v/>
      </c>
      <c r="I69" s="12" t="str">
        <f t="shared" ref="I69:I132" si="8">IF(F68&lt;$C$4,G69-H69,"")</f>
        <v/>
      </c>
      <c r="J69" s="12" t="str">
        <f t="shared" ref="J69:J132" si="9">IF(F68&lt;$C$4, J68-I69,"")</f>
        <v/>
      </c>
    </row>
    <row r="70" spans="6:10" x14ac:dyDescent="0.25">
      <c r="F70" s="9" t="str">
        <f t="shared" si="5"/>
        <v/>
      </c>
      <c r="G70" s="10" t="str">
        <f t="shared" si="6"/>
        <v/>
      </c>
      <c r="H70" s="12" t="str">
        <f t="shared" si="7"/>
        <v/>
      </c>
      <c r="I70" s="12" t="str">
        <f t="shared" si="8"/>
        <v/>
      </c>
      <c r="J70" s="12" t="str">
        <f t="shared" si="9"/>
        <v/>
      </c>
    </row>
    <row r="71" spans="6:10" x14ac:dyDescent="0.25">
      <c r="F71" s="9" t="str">
        <f t="shared" si="5"/>
        <v/>
      </c>
      <c r="G71" s="10" t="str">
        <f t="shared" si="6"/>
        <v/>
      </c>
      <c r="H71" s="12" t="str">
        <f t="shared" si="7"/>
        <v/>
      </c>
      <c r="I71" s="12" t="str">
        <f t="shared" si="8"/>
        <v/>
      </c>
      <c r="J71" s="12" t="str">
        <f t="shared" si="9"/>
        <v/>
      </c>
    </row>
    <row r="72" spans="6:10" x14ac:dyDescent="0.25">
      <c r="F72" s="9" t="str">
        <f t="shared" si="5"/>
        <v/>
      </c>
      <c r="G72" s="10" t="str">
        <f t="shared" si="6"/>
        <v/>
      </c>
      <c r="H72" s="12" t="str">
        <f t="shared" si="7"/>
        <v/>
      </c>
      <c r="I72" s="12" t="str">
        <f t="shared" si="8"/>
        <v/>
      </c>
      <c r="J72" s="12" t="str">
        <f t="shared" si="9"/>
        <v/>
      </c>
    </row>
    <row r="73" spans="6:10" x14ac:dyDescent="0.25">
      <c r="F73" s="9" t="str">
        <f t="shared" si="5"/>
        <v/>
      </c>
      <c r="G73" s="10" t="str">
        <f t="shared" si="6"/>
        <v/>
      </c>
      <c r="H73" s="12" t="str">
        <f t="shared" si="7"/>
        <v/>
      </c>
      <c r="I73" s="12" t="str">
        <f t="shared" si="8"/>
        <v/>
      </c>
      <c r="J73" s="12" t="str">
        <f t="shared" si="9"/>
        <v/>
      </c>
    </row>
    <row r="74" spans="6:10" x14ac:dyDescent="0.25">
      <c r="F74" s="9" t="str">
        <f t="shared" si="5"/>
        <v/>
      </c>
      <c r="G74" s="10" t="str">
        <f t="shared" si="6"/>
        <v/>
      </c>
      <c r="H74" s="12" t="str">
        <f t="shared" si="7"/>
        <v/>
      </c>
      <c r="I74" s="12" t="str">
        <f t="shared" si="8"/>
        <v/>
      </c>
      <c r="J74" s="12" t="str">
        <f t="shared" si="9"/>
        <v/>
      </c>
    </row>
    <row r="75" spans="6:10" x14ac:dyDescent="0.25">
      <c r="F75" s="9" t="str">
        <f t="shared" si="5"/>
        <v/>
      </c>
      <c r="G75" s="10" t="str">
        <f t="shared" si="6"/>
        <v/>
      </c>
      <c r="H75" s="12" t="str">
        <f t="shared" si="7"/>
        <v/>
      </c>
      <c r="I75" s="12" t="str">
        <f t="shared" si="8"/>
        <v/>
      </c>
      <c r="J75" s="12" t="str">
        <f t="shared" si="9"/>
        <v/>
      </c>
    </row>
    <row r="76" spans="6:10" x14ac:dyDescent="0.25">
      <c r="F76" s="9" t="str">
        <f t="shared" si="5"/>
        <v/>
      </c>
      <c r="G76" s="10" t="str">
        <f t="shared" si="6"/>
        <v/>
      </c>
      <c r="H76" s="12" t="str">
        <f t="shared" si="7"/>
        <v/>
      </c>
      <c r="I76" s="12" t="str">
        <f t="shared" si="8"/>
        <v/>
      </c>
      <c r="J76" s="12" t="str">
        <f t="shared" si="9"/>
        <v/>
      </c>
    </row>
    <row r="77" spans="6:10" x14ac:dyDescent="0.25">
      <c r="F77" s="9" t="str">
        <f t="shared" si="5"/>
        <v/>
      </c>
      <c r="G77" s="10" t="str">
        <f t="shared" si="6"/>
        <v/>
      </c>
      <c r="H77" s="12" t="str">
        <f t="shared" si="7"/>
        <v/>
      </c>
      <c r="I77" s="12" t="str">
        <f t="shared" si="8"/>
        <v/>
      </c>
      <c r="J77" s="12" t="str">
        <f t="shared" si="9"/>
        <v/>
      </c>
    </row>
    <row r="78" spans="6:10" x14ac:dyDescent="0.25">
      <c r="F78" s="9" t="str">
        <f t="shared" si="5"/>
        <v/>
      </c>
      <c r="G78" s="10" t="str">
        <f t="shared" si="6"/>
        <v/>
      </c>
      <c r="H78" s="12" t="str">
        <f t="shared" si="7"/>
        <v/>
      </c>
      <c r="I78" s="12" t="str">
        <f t="shared" si="8"/>
        <v/>
      </c>
      <c r="J78" s="12" t="str">
        <f t="shared" si="9"/>
        <v/>
      </c>
    </row>
    <row r="79" spans="6:10" x14ac:dyDescent="0.25">
      <c r="F79" s="9" t="str">
        <f t="shared" si="5"/>
        <v/>
      </c>
      <c r="G79" s="10" t="str">
        <f t="shared" si="6"/>
        <v/>
      </c>
      <c r="H79" s="12" t="str">
        <f t="shared" si="7"/>
        <v/>
      </c>
      <c r="I79" s="12" t="str">
        <f t="shared" si="8"/>
        <v/>
      </c>
      <c r="J79" s="12" t="str">
        <f t="shared" si="9"/>
        <v/>
      </c>
    </row>
    <row r="80" spans="6:10" x14ac:dyDescent="0.25">
      <c r="F80" s="9" t="str">
        <f t="shared" si="5"/>
        <v/>
      </c>
      <c r="G80" s="10" t="str">
        <f t="shared" si="6"/>
        <v/>
      </c>
      <c r="H80" s="12" t="str">
        <f t="shared" si="7"/>
        <v/>
      </c>
      <c r="I80" s="12" t="str">
        <f t="shared" si="8"/>
        <v/>
      </c>
      <c r="J80" s="12" t="str">
        <f t="shared" si="9"/>
        <v/>
      </c>
    </row>
    <row r="81" spans="6:10" x14ac:dyDescent="0.25">
      <c r="F81" s="9" t="str">
        <f t="shared" si="5"/>
        <v/>
      </c>
      <c r="G81" s="10" t="str">
        <f t="shared" si="6"/>
        <v/>
      </c>
      <c r="H81" s="12" t="str">
        <f t="shared" si="7"/>
        <v/>
      </c>
      <c r="I81" s="12" t="str">
        <f t="shared" si="8"/>
        <v/>
      </c>
      <c r="J81" s="12" t="str">
        <f t="shared" si="9"/>
        <v/>
      </c>
    </row>
    <row r="82" spans="6:10" x14ac:dyDescent="0.25">
      <c r="F82" s="9" t="str">
        <f t="shared" si="5"/>
        <v/>
      </c>
      <c r="G82" s="10" t="str">
        <f t="shared" si="6"/>
        <v/>
      </c>
      <c r="H82" s="12" t="str">
        <f t="shared" si="7"/>
        <v/>
      </c>
      <c r="I82" s="12" t="str">
        <f t="shared" si="8"/>
        <v/>
      </c>
      <c r="J82" s="12" t="str">
        <f t="shared" si="9"/>
        <v/>
      </c>
    </row>
    <row r="83" spans="6:10" x14ac:dyDescent="0.25">
      <c r="F83" s="9" t="str">
        <f t="shared" si="5"/>
        <v/>
      </c>
      <c r="G83" s="10" t="str">
        <f t="shared" si="6"/>
        <v/>
      </c>
      <c r="H83" s="12" t="str">
        <f t="shared" si="7"/>
        <v/>
      </c>
      <c r="I83" s="12" t="str">
        <f t="shared" si="8"/>
        <v/>
      </c>
      <c r="J83" s="12" t="str">
        <f t="shared" si="9"/>
        <v/>
      </c>
    </row>
    <row r="84" spans="6:10" x14ac:dyDescent="0.25">
      <c r="F84" s="9" t="str">
        <f t="shared" si="5"/>
        <v/>
      </c>
      <c r="G84" s="10" t="str">
        <f t="shared" si="6"/>
        <v/>
      </c>
      <c r="H84" s="12" t="str">
        <f t="shared" si="7"/>
        <v/>
      </c>
      <c r="I84" s="12" t="str">
        <f t="shared" si="8"/>
        <v/>
      </c>
      <c r="J84" s="12" t="str">
        <f t="shared" si="9"/>
        <v/>
      </c>
    </row>
    <row r="85" spans="6:10" x14ac:dyDescent="0.25">
      <c r="F85" s="9" t="str">
        <f t="shared" si="5"/>
        <v/>
      </c>
      <c r="G85" s="10" t="str">
        <f t="shared" si="6"/>
        <v/>
      </c>
      <c r="H85" s="12" t="str">
        <f t="shared" si="7"/>
        <v/>
      </c>
      <c r="I85" s="12" t="str">
        <f t="shared" si="8"/>
        <v/>
      </c>
      <c r="J85" s="12" t="str">
        <f t="shared" si="9"/>
        <v/>
      </c>
    </row>
    <row r="86" spans="6:10" x14ac:dyDescent="0.25">
      <c r="F86" s="9" t="str">
        <f t="shared" si="5"/>
        <v/>
      </c>
      <c r="G86" s="10" t="str">
        <f t="shared" si="6"/>
        <v/>
      </c>
      <c r="H86" s="12" t="str">
        <f t="shared" si="7"/>
        <v/>
      </c>
      <c r="I86" s="12" t="str">
        <f t="shared" si="8"/>
        <v/>
      </c>
      <c r="J86" s="12" t="str">
        <f t="shared" si="9"/>
        <v/>
      </c>
    </row>
    <row r="87" spans="6:10" x14ac:dyDescent="0.25">
      <c r="F87" s="9" t="str">
        <f t="shared" si="5"/>
        <v/>
      </c>
      <c r="G87" s="10" t="str">
        <f t="shared" si="6"/>
        <v/>
      </c>
      <c r="H87" s="12" t="str">
        <f t="shared" si="7"/>
        <v/>
      </c>
      <c r="I87" s="12" t="str">
        <f t="shared" si="8"/>
        <v/>
      </c>
      <c r="J87" s="12" t="str">
        <f t="shared" si="9"/>
        <v/>
      </c>
    </row>
    <row r="88" spans="6:10" x14ac:dyDescent="0.25">
      <c r="F88" s="9" t="str">
        <f t="shared" si="5"/>
        <v/>
      </c>
      <c r="G88" s="10" t="str">
        <f t="shared" si="6"/>
        <v/>
      </c>
      <c r="H88" s="12" t="str">
        <f t="shared" si="7"/>
        <v/>
      </c>
      <c r="I88" s="12" t="str">
        <f t="shared" si="8"/>
        <v/>
      </c>
      <c r="J88" s="12" t="str">
        <f t="shared" si="9"/>
        <v/>
      </c>
    </row>
    <row r="89" spans="6:10" x14ac:dyDescent="0.25">
      <c r="F89" s="9" t="str">
        <f t="shared" si="5"/>
        <v/>
      </c>
      <c r="G89" s="10" t="str">
        <f t="shared" si="6"/>
        <v/>
      </c>
      <c r="H89" s="12" t="str">
        <f t="shared" si="7"/>
        <v/>
      </c>
      <c r="I89" s="12" t="str">
        <f t="shared" si="8"/>
        <v/>
      </c>
      <c r="J89" s="12" t="str">
        <f t="shared" si="9"/>
        <v/>
      </c>
    </row>
    <row r="90" spans="6:10" x14ac:dyDescent="0.25">
      <c r="F90" s="9" t="str">
        <f t="shared" si="5"/>
        <v/>
      </c>
      <c r="G90" s="10" t="str">
        <f t="shared" si="6"/>
        <v/>
      </c>
      <c r="H90" s="12" t="str">
        <f t="shared" si="7"/>
        <v/>
      </c>
      <c r="I90" s="12" t="str">
        <f t="shared" si="8"/>
        <v/>
      </c>
      <c r="J90" s="12" t="str">
        <f t="shared" si="9"/>
        <v/>
      </c>
    </row>
    <row r="91" spans="6:10" x14ac:dyDescent="0.25">
      <c r="F91" s="9" t="str">
        <f t="shared" si="5"/>
        <v/>
      </c>
      <c r="G91" s="10" t="str">
        <f t="shared" si="6"/>
        <v/>
      </c>
      <c r="H91" s="12" t="str">
        <f t="shared" si="7"/>
        <v/>
      </c>
      <c r="I91" s="12" t="str">
        <f t="shared" si="8"/>
        <v/>
      </c>
      <c r="J91" s="12" t="str">
        <f t="shared" si="9"/>
        <v/>
      </c>
    </row>
    <row r="92" spans="6:10" x14ac:dyDescent="0.25">
      <c r="F92" s="9" t="str">
        <f t="shared" si="5"/>
        <v/>
      </c>
      <c r="G92" s="10" t="str">
        <f t="shared" si="6"/>
        <v/>
      </c>
      <c r="H92" s="12" t="str">
        <f t="shared" si="7"/>
        <v/>
      </c>
      <c r="I92" s="12" t="str">
        <f t="shared" si="8"/>
        <v/>
      </c>
      <c r="J92" s="12" t="str">
        <f t="shared" si="9"/>
        <v/>
      </c>
    </row>
    <row r="93" spans="6:10" x14ac:dyDescent="0.25">
      <c r="F93" s="9" t="str">
        <f t="shared" si="5"/>
        <v/>
      </c>
      <c r="G93" s="10" t="str">
        <f t="shared" si="6"/>
        <v/>
      </c>
      <c r="H93" s="12" t="str">
        <f t="shared" si="7"/>
        <v/>
      </c>
      <c r="I93" s="12" t="str">
        <f t="shared" si="8"/>
        <v/>
      </c>
      <c r="J93" s="12" t="str">
        <f t="shared" si="9"/>
        <v/>
      </c>
    </row>
    <row r="94" spans="6:10" x14ac:dyDescent="0.25">
      <c r="F94" s="9" t="str">
        <f t="shared" si="5"/>
        <v/>
      </c>
      <c r="G94" s="10" t="str">
        <f t="shared" si="6"/>
        <v/>
      </c>
      <c r="H94" s="12" t="str">
        <f t="shared" si="7"/>
        <v/>
      </c>
      <c r="I94" s="12" t="str">
        <f t="shared" si="8"/>
        <v/>
      </c>
      <c r="J94" s="12" t="str">
        <f t="shared" si="9"/>
        <v/>
      </c>
    </row>
    <row r="95" spans="6:10" x14ac:dyDescent="0.25">
      <c r="F95" s="9" t="str">
        <f t="shared" si="5"/>
        <v/>
      </c>
      <c r="G95" s="10" t="str">
        <f t="shared" si="6"/>
        <v/>
      </c>
      <c r="H95" s="12" t="str">
        <f t="shared" si="7"/>
        <v/>
      </c>
      <c r="I95" s="12" t="str">
        <f t="shared" si="8"/>
        <v/>
      </c>
      <c r="J95" s="12" t="str">
        <f t="shared" si="9"/>
        <v/>
      </c>
    </row>
    <row r="96" spans="6:10" x14ac:dyDescent="0.25">
      <c r="F96" s="9" t="str">
        <f t="shared" si="5"/>
        <v/>
      </c>
      <c r="G96" s="10" t="str">
        <f t="shared" si="6"/>
        <v/>
      </c>
      <c r="H96" s="12" t="str">
        <f t="shared" si="7"/>
        <v/>
      </c>
      <c r="I96" s="12" t="str">
        <f t="shared" si="8"/>
        <v/>
      </c>
      <c r="J96" s="12" t="str">
        <f t="shared" si="9"/>
        <v/>
      </c>
    </row>
    <row r="97" spans="6:10" x14ac:dyDescent="0.25">
      <c r="F97" s="9" t="str">
        <f t="shared" si="5"/>
        <v/>
      </c>
      <c r="G97" s="10" t="str">
        <f t="shared" si="6"/>
        <v/>
      </c>
      <c r="H97" s="12" t="str">
        <f t="shared" si="7"/>
        <v/>
      </c>
      <c r="I97" s="12" t="str">
        <f t="shared" si="8"/>
        <v/>
      </c>
      <c r="J97" s="12" t="str">
        <f t="shared" si="9"/>
        <v/>
      </c>
    </row>
    <row r="98" spans="6:10" x14ac:dyDescent="0.25">
      <c r="F98" s="9" t="str">
        <f t="shared" si="5"/>
        <v/>
      </c>
      <c r="G98" s="10" t="str">
        <f t="shared" si="6"/>
        <v/>
      </c>
      <c r="H98" s="12" t="str">
        <f t="shared" si="7"/>
        <v/>
      </c>
      <c r="I98" s="12" t="str">
        <f t="shared" si="8"/>
        <v/>
      </c>
      <c r="J98" s="12" t="str">
        <f t="shared" si="9"/>
        <v/>
      </c>
    </row>
    <row r="99" spans="6:10" x14ac:dyDescent="0.25">
      <c r="F99" s="9" t="str">
        <f t="shared" si="5"/>
        <v/>
      </c>
      <c r="G99" s="10" t="str">
        <f t="shared" si="6"/>
        <v/>
      </c>
      <c r="H99" s="12" t="str">
        <f t="shared" si="7"/>
        <v/>
      </c>
      <c r="I99" s="12" t="str">
        <f t="shared" si="8"/>
        <v/>
      </c>
      <c r="J99" s="12" t="str">
        <f t="shared" si="9"/>
        <v/>
      </c>
    </row>
    <row r="100" spans="6:10" x14ac:dyDescent="0.25">
      <c r="F100" s="9" t="str">
        <f t="shared" si="5"/>
        <v/>
      </c>
      <c r="G100" s="10" t="str">
        <f t="shared" si="6"/>
        <v/>
      </c>
      <c r="H100" s="12" t="str">
        <f t="shared" si="7"/>
        <v/>
      </c>
      <c r="I100" s="12" t="str">
        <f t="shared" si="8"/>
        <v/>
      </c>
      <c r="J100" s="12" t="str">
        <f t="shared" si="9"/>
        <v/>
      </c>
    </row>
    <row r="101" spans="6:10" x14ac:dyDescent="0.25">
      <c r="F101" s="9" t="str">
        <f t="shared" si="5"/>
        <v/>
      </c>
      <c r="G101" s="10" t="str">
        <f t="shared" si="6"/>
        <v/>
      </c>
      <c r="H101" s="12" t="str">
        <f t="shared" si="7"/>
        <v/>
      </c>
      <c r="I101" s="12" t="str">
        <f t="shared" si="8"/>
        <v/>
      </c>
      <c r="J101" s="12" t="str">
        <f t="shared" si="9"/>
        <v/>
      </c>
    </row>
    <row r="102" spans="6:10" x14ac:dyDescent="0.25">
      <c r="F102" s="9" t="str">
        <f t="shared" si="5"/>
        <v/>
      </c>
      <c r="G102" s="10" t="str">
        <f t="shared" si="6"/>
        <v/>
      </c>
      <c r="H102" s="12" t="str">
        <f t="shared" si="7"/>
        <v/>
      </c>
      <c r="I102" s="12" t="str">
        <f t="shared" si="8"/>
        <v/>
      </c>
      <c r="J102" s="12" t="str">
        <f t="shared" si="9"/>
        <v/>
      </c>
    </row>
    <row r="103" spans="6:10" x14ac:dyDescent="0.25">
      <c r="F103" s="9" t="str">
        <f t="shared" si="5"/>
        <v/>
      </c>
      <c r="G103" s="10" t="str">
        <f t="shared" si="6"/>
        <v/>
      </c>
      <c r="H103" s="12" t="str">
        <f t="shared" si="7"/>
        <v/>
      </c>
      <c r="I103" s="12" t="str">
        <f t="shared" si="8"/>
        <v/>
      </c>
      <c r="J103" s="12" t="str">
        <f t="shared" si="9"/>
        <v/>
      </c>
    </row>
    <row r="104" spans="6:10" x14ac:dyDescent="0.25">
      <c r="F104" s="9" t="str">
        <f t="shared" si="5"/>
        <v/>
      </c>
      <c r="G104" s="10" t="str">
        <f t="shared" si="6"/>
        <v/>
      </c>
      <c r="H104" s="12" t="str">
        <f t="shared" si="7"/>
        <v/>
      </c>
      <c r="I104" s="12" t="str">
        <f t="shared" si="8"/>
        <v/>
      </c>
      <c r="J104" s="12" t="str">
        <f t="shared" si="9"/>
        <v/>
      </c>
    </row>
    <row r="105" spans="6:10" x14ac:dyDescent="0.25">
      <c r="F105" s="9" t="str">
        <f t="shared" si="5"/>
        <v/>
      </c>
      <c r="G105" s="10" t="str">
        <f t="shared" si="6"/>
        <v/>
      </c>
      <c r="H105" s="12" t="str">
        <f t="shared" si="7"/>
        <v/>
      </c>
      <c r="I105" s="12" t="str">
        <f t="shared" si="8"/>
        <v/>
      </c>
      <c r="J105" s="12" t="str">
        <f t="shared" si="9"/>
        <v/>
      </c>
    </row>
    <row r="106" spans="6:10" x14ac:dyDescent="0.25">
      <c r="F106" s="9" t="str">
        <f t="shared" si="5"/>
        <v/>
      </c>
      <c r="G106" s="10" t="str">
        <f t="shared" si="6"/>
        <v/>
      </c>
      <c r="H106" s="12" t="str">
        <f t="shared" si="7"/>
        <v/>
      </c>
      <c r="I106" s="12" t="str">
        <f t="shared" si="8"/>
        <v/>
      </c>
      <c r="J106" s="12" t="str">
        <f t="shared" si="9"/>
        <v/>
      </c>
    </row>
    <row r="107" spans="6:10" x14ac:dyDescent="0.25">
      <c r="F107" s="9" t="str">
        <f t="shared" si="5"/>
        <v/>
      </c>
      <c r="G107" s="10" t="str">
        <f t="shared" si="6"/>
        <v/>
      </c>
      <c r="H107" s="12" t="str">
        <f t="shared" si="7"/>
        <v/>
      </c>
      <c r="I107" s="12" t="str">
        <f t="shared" si="8"/>
        <v/>
      </c>
      <c r="J107" s="12" t="str">
        <f t="shared" si="9"/>
        <v/>
      </c>
    </row>
    <row r="108" spans="6:10" x14ac:dyDescent="0.25">
      <c r="F108" s="9" t="str">
        <f t="shared" si="5"/>
        <v/>
      </c>
      <c r="G108" s="10" t="str">
        <f t="shared" si="6"/>
        <v/>
      </c>
      <c r="H108" s="12" t="str">
        <f t="shared" si="7"/>
        <v/>
      </c>
      <c r="I108" s="12" t="str">
        <f t="shared" si="8"/>
        <v/>
      </c>
      <c r="J108" s="12" t="str">
        <f t="shared" si="9"/>
        <v/>
      </c>
    </row>
    <row r="109" spans="6:10" x14ac:dyDescent="0.25">
      <c r="F109" s="9" t="str">
        <f t="shared" si="5"/>
        <v/>
      </c>
      <c r="G109" s="10" t="str">
        <f t="shared" si="6"/>
        <v/>
      </c>
      <c r="H109" s="12" t="str">
        <f t="shared" si="7"/>
        <v/>
      </c>
      <c r="I109" s="12" t="str">
        <f t="shared" si="8"/>
        <v/>
      </c>
      <c r="J109" s="12" t="str">
        <f t="shared" si="9"/>
        <v/>
      </c>
    </row>
    <row r="110" spans="6:10" x14ac:dyDescent="0.25">
      <c r="F110" s="9" t="str">
        <f t="shared" si="5"/>
        <v/>
      </c>
      <c r="G110" s="10" t="str">
        <f t="shared" si="6"/>
        <v/>
      </c>
      <c r="H110" s="12" t="str">
        <f t="shared" si="7"/>
        <v/>
      </c>
      <c r="I110" s="12" t="str">
        <f t="shared" si="8"/>
        <v/>
      </c>
      <c r="J110" s="12" t="str">
        <f t="shared" si="9"/>
        <v/>
      </c>
    </row>
    <row r="111" spans="6:10" x14ac:dyDescent="0.25">
      <c r="F111" s="9" t="str">
        <f t="shared" si="5"/>
        <v/>
      </c>
      <c r="G111" s="10" t="str">
        <f t="shared" si="6"/>
        <v/>
      </c>
      <c r="H111" s="12" t="str">
        <f t="shared" si="7"/>
        <v/>
      </c>
      <c r="I111" s="12" t="str">
        <f t="shared" si="8"/>
        <v/>
      </c>
      <c r="J111" s="12" t="str">
        <f t="shared" si="9"/>
        <v/>
      </c>
    </row>
    <row r="112" spans="6:10" x14ac:dyDescent="0.25">
      <c r="F112" s="9" t="str">
        <f t="shared" si="5"/>
        <v/>
      </c>
      <c r="G112" s="10" t="str">
        <f t="shared" si="6"/>
        <v/>
      </c>
      <c r="H112" s="12" t="str">
        <f t="shared" si="7"/>
        <v/>
      </c>
      <c r="I112" s="12" t="str">
        <f t="shared" si="8"/>
        <v/>
      </c>
      <c r="J112" s="12" t="str">
        <f t="shared" si="9"/>
        <v/>
      </c>
    </row>
    <row r="113" spans="6:10" x14ac:dyDescent="0.25">
      <c r="F113" s="9" t="str">
        <f t="shared" si="5"/>
        <v/>
      </c>
      <c r="G113" s="10" t="str">
        <f t="shared" si="6"/>
        <v/>
      </c>
      <c r="H113" s="12" t="str">
        <f t="shared" si="7"/>
        <v/>
      </c>
      <c r="I113" s="12" t="str">
        <f t="shared" si="8"/>
        <v/>
      </c>
      <c r="J113" s="12" t="str">
        <f t="shared" si="9"/>
        <v/>
      </c>
    </row>
    <row r="114" spans="6:10" x14ac:dyDescent="0.25">
      <c r="F114" s="9" t="str">
        <f t="shared" si="5"/>
        <v/>
      </c>
      <c r="G114" s="10" t="str">
        <f t="shared" si="6"/>
        <v/>
      </c>
      <c r="H114" s="12" t="str">
        <f t="shared" si="7"/>
        <v/>
      </c>
      <c r="I114" s="12" t="str">
        <f t="shared" si="8"/>
        <v/>
      </c>
      <c r="J114" s="12" t="str">
        <f t="shared" si="9"/>
        <v/>
      </c>
    </row>
    <row r="115" spans="6:10" x14ac:dyDescent="0.25">
      <c r="F115" s="9" t="str">
        <f t="shared" si="5"/>
        <v/>
      </c>
      <c r="G115" s="10" t="str">
        <f t="shared" si="6"/>
        <v/>
      </c>
      <c r="H115" s="12" t="str">
        <f t="shared" si="7"/>
        <v/>
      </c>
      <c r="I115" s="12" t="str">
        <f t="shared" si="8"/>
        <v/>
      </c>
      <c r="J115" s="12" t="str">
        <f t="shared" si="9"/>
        <v/>
      </c>
    </row>
    <row r="116" spans="6:10" x14ac:dyDescent="0.25">
      <c r="F116" s="9" t="str">
        <f t="shared" si="5"/>
        <v/>
      </c>
      <c r="G116" s="10" t="str">
        <f t="shared" si="6"/>
        <v/>
      </c>
      <c r="H116" s="12" t="str">
        <f t="shared" si="7"/>
        <v/>
      </c>
      <c r="I116" s="12" t="str">
        <f t="shared" si="8"/>
        <v/>
      </c>
      <c r="J116" s="12" t="str">
        <f t="shared" si="9"/>
        <v/>
      </c>
    </row>
    <row r="117" spans="6:10" x14ac:dyDescent="0.25">
      <c r="F117" s="9" t="str">
        <f t="shared" si="5"/>
        <v/>
      </c>
      <c r="G117" s="10" t="str">
        <f t="shared" si="6"/>
        <v/>
      </c>
      <c r="H117" s="12" t="str">
        <f t="shared" si="7"/>
        <v/>
      </c>
      <c r="I117" s="12" t="str">
        <f t="shared" si="8"/>
        <v/>
      </c>
      <c r="J117" s="12" t="str">
        <f t="shared" si="9"/>
        <v/>
      </c>
    </row>
    <row r="118" spans="6:10" x14ac:dyDescent="0.25">
      <c r="F118" s="9" t="str">
        <f t="shared" si="5"/>
        <v/>
      </c>
      <c r="G118" s="10" t="str">
        <f t="shared" si="6"/>
        <v/>
      </c>
      <c r="H118" s="12" t="str">
        <f t="shared" si="7"/>
        <v/>
      </c>
      <c r="I118" s="12" t="str">
        <f t="shared" si="8"/>
        <v/>
      </c>
      <c r="J118" s="12" t="str">
        <f t="shared" si="9"/>
        <v/>
      </c>
    </row>
    <row r="119" spans="6:10" x14ac:dyDescent="0.25">
      <c r="F119" s="9" t="str">
        <f t="shared" si="5"/>
        <v/>
      </c>
      <c r="G119" s="10" t="str">
        <f t="shared" si="6"/>
        <v/>
      </c>
      <c r="H119" s="12" t="str">
        <f t="shared" si="7"/>
        <v/>
      </c>
      <c r="I119" s="12" t="str">
        <f t="shared" si="8"/>
        <v/>
      </c>
      <c r="J119" s="12" t="str">
        <f t="shared" si="9"/>
        <v/>
      </c>
    </row>
    <row r="120" spans="6:10" x14ac:dyDescent="0.25">
      <c r="F120" s="9" t="str">
        <f t="shared" si="5"/>
        <v/>
      </c>
      <c r="G120" s="10" t="str">
        <f t="shared" si="6"/>
        <v/>
      </c>
      <c r="H120" s="12" t="str">
        <f t="shared" si="7"/>
        <v/>
      </c>
      <c r="I120" s="12" t="str">
        <f t="shared" si="8"/>
        <v/>
      </c>
      <c r="J120" s="12" t="str">
        <f t="shared" si="9"/>
        <v/>
      </c>
    </row>
    <row r="121" spans="6:10" x14ac:dyDescent="0.25">
      <c r="F121" s="9" t="str">
        <f t="shared" si="5"/>
        <v/>
      </c>
      <c r="G121" s="10" t="str">
        <f t="shared" si="6"/>
        <v/>
      </c>
      <c r="H121" s="12" t="str">
        <f t="shared" si="7"/>
        <v/>
      </c>
      <c r="I121" s="12" t="str">
        <f t="shared" si="8"/>
        <v/>
      </c>
      <c r="J121" s="12" t="str">
        <f t="shared" si="9"/>
        <v/>
      </c>
    </row>
    <row r="122" spans="6:10" x14ac:dyDescent="0.25">
      <c r="F122" s="9" t="str">
        <f t="shared" si="5"/>
        <v/>
      </c>
      <c r="G122" s="10" t="str">
        <f t="shared" si="6"/>
        <v/>
      </c>
      <c r="H122" s="12" t="str">
        <f t="shared" si="7"/>
        <v/>
      </c>
      <c r="I122" s="12" t="str">
        <f t="shared" si="8"/>
        <v/>
      </c>
      <c r="J122" s="12" t="str">
        <f t="shared" si="9"/>
        <v/>
      </c>
    </row>
    <row r="123" spans="6:10" x14ac:dyDescent="0.25">
      <c r="F123" s="9" t="str">
        <f t="shared" si="5"/>
        <v/>
      </c>
      <c r="G123" s="10" t="str">
        <f t="shared" si="6"/>
        <v/>
      </c>
      <c r="H123" s="12" t="str">
        <f t="shared" si="7"/>
        <v/>
      </c>
      <c r="I123" s="12" t="str">
        <f t="shared" si="8"/>
        <v/>
      </c>
      <c r="J123" s="12" t="str">
        <f t="shared" si="9"/>
        <v/>
      </c>
    </row>
    <row r="124" spans="6:10" x14ac:dyDescent="0.25">
      <c r="F124" s="9" t="str">
        <f t="shared" si="5"/>
        <v/>
      </c>
      <c r="G124" s="10" t="str">
        <f t="shared" si="6"/>
        <v/>
      </c>
      <c r="H124" s="12" t="str">
        <f t="shared" si="7"/>
        <v/>
      </c>
      <c r="I124" s="12" t="str">
        <f t="shared" si="8"/>
        <v/>
      </c>
      <c r="J124" s="12" t="str">
        <f t="shared" si="9"/>
        <v/>
      </c>
    </row>
    <row r="125" spans="6:10" x14ac:dyDescent="0.25">
      <c r="F125" s="9" t="str">
        <f t="shared" si="5"/>
        <v/>
      </c>
      <c r="G125" s="10" t="str">
        <f t="shared" si="6"/>
        <v/>
      </c>
      <c r="H125" s="12" t="str">
        <f t="shared" si="7"/>
        <v/>
      </c>
      <c r="I125" s="12" t="str">
        <f t="shared" si="8"/>
        <v/>
      </c>
      <c r="J125" s="12" t="str">
        <f t="shared" si="9"/>
        <v/>
      </c>
    </row>
    <row r="126" spans="6:10" x14ac:dyDescent="0.25">
      <c r="F126" s="9" t="str">
        <f t="shared" si="5"/>
        <v/>
      </c>
      <c r="G126" s="10" t="str">
        <f t="shared" si="6"/>
        <v/>
      </c>
      <c r="H126" s="12" t="str">
        <f t="shared" si="7"/>
        <v/>
      </c>
      <c r="I126" s="12" t="str">
        <f t="shared" si="8"/>
        <v/>
      </c>
      <c r="J126" s="12" t="str">
        <f t="shared" si="9"/>
        <v/>
      </c>
    </row>
    <row r="127" spans="6:10" x14ac:dyDescent="0.25">
      <c r="F127" s="9" t="str">
        <f t="shared" si="5"/>
        <v/>
      </c>
      <c r="G127" s="10" t="str">
        <f t="shared" si="6"/>
        <v/>
      </c>
      <c r="H127" s="12" t="str">
        <f t="shared" si="7"/>
        <v/>
      </c>
      <c r="I127" s="12" t="str">
        <f t="shared" si="8"/>
        <v/>
      </c>
      <c r="J127" s="12" t="str">
        <f t="shared" si="9"/>
        <v/>
      </c>
    </row>
    <row r="128" spans="6:10" x14ac:dyDescent="0.25">
      <c r="F128" s="9" t="str">
        <f t="shared" si="5"/>
        <v/>
      </c>
      <c r="G128" s="10" t="str">
        <f t="shared" si="6"/>
        <v/>
      </c>
      <c r="H128" s="12" t="str">
        <f t="shared" si="7"/>
        <v/>
      </c>
      <c r="I128" s="12" t="str">
        <f t="shared" si="8"/>
        <v/>
      </c>
      <c r="J128" s="12" t="str">
        <f t="shared" si="9"/>
        <v/>
      </c>
    </row>
    <row r="129" spans="6:10" x14ac:dyDescent="0.25">
      <c r="F129" s="9" t="str">
        <f t="shared" si="5"/>
        <v/>
      </c>
      <c r="G129" s="10" t="str">
        <f t="shared" si="6"/>
        <v/>
      </c>
      <c r="H129" s="12" t="str">
        <f t="shared" si="7"/>
        <v/>
      </c>
      <c r="I129" s="12" t="str">
        <f t="shared" si="8"/>
        <v/>
      </c>
      <c r="J129" s="12" t="str">
        <f t="shared" si="9"/>
        <v/>
      </c>
    </row>
    <row r="130" spans="6:10" x14ac:dyDescent="0.25">
      <c r="F130" s="9" t="str">
        <f t="shared" si="5"/>
        <v/>
      </c>
      <c r="G130" s="10" t="str">
        <f t="shared" si="6"/>
        <v/>
      </c>
      <c r="H130" s="12" t="str">
        <f t="shared" si="7"/>
        <v/>
      </c>
      <c r="I130" s="12" t="str">
        <f t="shared" si="8"/>
        <v/>
      </c>
      <c r="J130" s="12" t="str">
        <f t="shared" si="9"/>
        <v/>
      </c>
    </row>
    <row r="131" spans="6:10" x14ac:dyDescent="0.25">
      <c r="F131" s="9" t="str">
        <f t="shared" si="5"/>
        <v/>
      </c>
      <c r="G131" s="10" t="str">
        <f t="shared" si="6"/>
        <v/>
      </c>
      <c r="H131" s="12" t="str">
        <f t="shared" si="7"/>
        <v/>
      </c>
      <c r="I131" s="12" t="str">
        <f t="shared" si="8"/>
        <v/>
      </c>
      <c r="J131" s="12" t="str">
        <f t="shared" si="9"/>
        <v/>
      </c>
    </row>
    <row r="132" spans="6:10" x14ac:dyDescent="0.25">
      <c r="F132" s="9" t="str">
        <f t="shared" si="5"/>
        <v/>
      </c>
      <c r="G132" s="10" t="str">
        <f t="shared" si="6"/>
        <v/>
      </c>
      <c r="H132" s="12" t="str">
        <f t="shared" si="7"/>
        <v/>
      </c>
      <c r="I132" s="12" t="str">
        <f t="shared" si="8"/>
        <v/>
      </c>
      <c r="J132" s="12" t="str">
        <f t="shared" si="9"/>
        <v/>
      </c>
    </row>
    <row r="133" spans="6:10" x14ac:dyDescent="0.25">
      <c r="F133" s="9" t="str">
        <f t="shared" ref="F133:F196" si="10">IF(F132&lt;$C$4, F132+1,"")</f>
        <v/>
      </c>
      <c r="G133" s="10" t="str">
        <f t="shared" ref="G133:G196" si="11">IF(F132&lt;$C$4,$C$7*(1+$C$5)^(F133-1),"")</f>
        <v/>
      </c>
      <c r="H133" s="12" t="str">
        <f t="shared" ref="H133:H196" si="12">IF(F132&lt;$C$4, J132*$C$3,"")</f>
        <v/>
      </c>
      <c r="I133" s="12" t="str">
        <f t="shared" ref="I133:I196" si="13">IF(F132&lt;$C$4,G133-H133,"")</f>
        <v/>
      </c>
      <c r="J133" s="12" t="str">
        <f t="shared" ref="J133:J196" si="14">IF(F132&lt;$C$4, J132-I133,"")</f>
        <v/>
      </c>
    </row>
    <row r="134" spans="6:10" x14ac:dyDescent="0.25">
      <c r="F134" s="9" t="str">
        <f t="shared" si="10"/>
        <v/>
      </c>
      <c r="G134" s="10" t="str">
        <f t="shared" si="11"/>
        <v/>
      </c>
      <c r="H134" s="12" t="str">
        <f t="shared" si="12"/>
        <v/>
      </c>
      <c r="I134" s="12" t="str">
        <f t="shared" si="13"/>
        <v/>
      </c>
      <c r="J134" s="12" t="str">
        <f t="shared" si="14"/>
        <v/>
      </c>
    </row>
    <row r="135" spans="6:10" x14ac:dyDescent="0.25">
      <c r="F135" s="9" t="str">
        <f t="shared" si="10"/>
        <v/>
      </c>
      <c r="G135" s="10" t="str">
        <f t="shared" si="11"/>
        <v/>
      </c>
      <c r="H135" s="12" t="str">
        <f t="shared" si="12"/>
        <v/>
      </c>
      <c r="I135" s="12" t="str">
        <f t="shared" si="13"/>
        <v/>
      </c>
      <c r="J135" s="12" t="str">
        <f t="shared" si="14"/>
        <v/>
      </c>
    </row>
    <row r="136" spans="6:10" x14ac:dyDescent="0.25">
      <c r="F136" s="9" t="str">
        <f t="shared" si="10"/>
        <v/>
      </c>
      <c r="G136" s="10" t="str">
        <f t="shared" si="11"/>
        <v/>
      </c>
      <c r="H136" s="12" t="str">
        <f t="shared" si="12"/>
        <v/>
      </c>
      <c r="I136" s="12" t="str">
        <f t="shared" si="13"/>
        <v/>
      </c>
      <c r="J136" s="12" t="str">
        <f t="shared" si="14"/>
        <v/>
      </c>
    </row>
    <row r="137" spans="6:10" x14ac:dyDescent="0.25">
      <c r="F137" s="9" t="str">
        <f t="shared" si="10"/>
        <v/>
      </c>
      <c r="G137" s="10" t="str">
        <f t="shared" si="11"/>
        <v/>
      </c>
      <c r="H137" s="12" t="str">
        <f t="shared" si="12"/>
        <v/>
      </c>
      <c r="I137" s="12" t="str">
        <f t="shared" si="13"/>
        <v/>
      </c>
      <c r="J137" s="12" t="str">
        <f t="shared" si="14"/>
        <v/>
      </c>
    </row>
    <row r="138" spans="6:10" x14ac:dyDescent="0.25">
      <c r="F138" s="9" t="str">
        <f t="shared" si="10"/>
        <v/>
      </c>
      <c r="G138" s="10" t="str">
        <f t="shared" si="11"/>
        <v/>
      </c>
      <c r="H138" s="12" t="str">
        <f t="shared" si="12"/>
        <v/>
      </c>
      <c r="I138" s="12" t="str">
        <f t="shared" si="13"/>
        <v/>
      </c>
      <c r="J138" s="12" t="str">
        <f t="shared" si="14"/>
        <v/>
      </c>
    </row>
    <row r="139" spans="6:10" x14ac:dyDescent="0.25">
      <c r="F139" s="9" t="str">
        <f t="shared" si="10"/>
        <v/>
      </c>
      <c r="G139" s="10" t="str">
        <f t="shared" si="11"/>
        <v/>
      </c>
      <c r="H139" s="12" t="str">
        <f t="shared" si="12"/>
        <v/>
      </c>
      <c r="I139" s="12" t="str">
        <f t="shared" si="13"/>
        <v/>
      </c>
      <c r="J139" s="12" t="str">
        <f t="shared" si="14"/>
        <v/>
      </c>
    </row>
    <row r="140" spans="6:10" x14ac:dyDescent="0.25">
      <c r="F140" s="9" t="str">
        <f t="shared" si="10"/>
        <v/>
      </c>
      <c r="G140" s="10" t="str">
        <f t="shared" si="11"/>
        <v/>
      </c>
      <c r="H140" s="12" t="str">
        <f t="shared" si="12"/>
        <v/>
      </c>
      <c r="I140" s="12" t="str">
        <f t="shared" si="13"/>
        <v/>
      </c>
      <c r="J140" s="12" t="str">
        <f t="shared" si="14"/>
        <v/>
      </c>
    </row>
    <row r="141" spans="6:10" x14ac:dyDescent="0.25">
      <c r="F141" s="9" t="str">
        <f t="shared" si="10"/>
        <v/>
      </c>
      <c r="G141" s="10" t="str">
        <f t="shared" si="11"/>
        <v/>
      </c>
      <c r="H141" s="12" t="str">
        <f t="shared" si="12"/>
        <v/>
      </c>
      <c r="I141" s="12" t="str">
        <f t="shared" si="13"/>
        <v/>
      </c>
      <c r="J141" s="12" t="str">
        <f t="shared" si="14"/>
        <v/>
      </c>
    </row>
    <row r="142" spans="6:10" x14ac:dyDescent="0.25">
      <c r="F142" s="9" t="str">
        <f t="shared" si="10"/>
        <v/>
      </c>
      <c r="G142" s="10" t="str">
        <f t="shared" si="11"/>
        <v/>
      </c>
      <c r="H142" s="12" t="str">
        <f t="shared" si="12"/>
        <v/>
      </c>
      <c r="I142" s="12" t="str">
        <f t="shared" si="13"/>
        <v/>
      </c>
      <c r="J142" s="12" t="str">
        <f t="shared" si="14"/>
        <v/>
      </c>
    </row>
    <row r="143" spans="6:10" x14ac:dyDescent="0.25">
      <c r="F143" s="9" t="str">
        <f t="shared" si="10"/>
        <v/>
      </c>
      <c r="G143" s="10" t="str">
        <f t="shared" si="11"/>
        <v/>
      </c>
      <c r="H143" s="12" t="str">
        <f t="shared" si="12"/>
        <v/>
      </c>
      <c r="I143" s="12" t="str">
        <f t="shared" si="13"/>
        <v/>
      </c>
      <c r="J143" s="12" t="str">
        <f t="shared" si="14"/>
        <v/>
      </c>
    </row>
    <row r="144" spans="6:10" x14ac:dyDescent="0.25">
      <c r="F144" s="9" t="str">
        <f t="shared" si="10"/>
        <v/>
      </c>
      <c r="G144" s="10" t="str">
        <f t="shared" si="11"/>
        <v/>
      </c>
      <c r="H144" s="12" t="str">
        <f t="shared" si="12"/>
        <v/>
      </c>
      <c r="I144" s="12" t="str">
        <f t="shared" si="13"/>
        <v/>
      </c>
      <c r="J144" s="12" t="str">
        <f t="shared" si="14"/>
        <v/>
      </c>
    </row>
    <row r="145" spans="6:10" x14ac:dyDescent="0.25">
      <c r="F145" s="9" t="str">
        <f t="shared" si="10"/>
        <v/>
      </c>
      <c r="G145" s="10" t="str">
        <f t="shared" si="11"/>
        <v/>
      </c>
      <c r="H145" s="12" t="str">
        <f t="shared" si="12"/>
        <v/>
      </c>
      <c r="I145" s="12" t="str">
        <f t="shared" si="13"/>
        <v/>
      </c>
      <c r="J145" s="12" t="str">
        <f t="shared" si="14"/>
        <v/>
      </c>
    </row>
    <row r="146" spans="6:10" x14ac:dyDescent="0.25">
      <c r="F146" s="9" t="str">
        <f t="shared" si="10"/>
        <v/>
      </c>
      <c r="G146" s="10" t="str">
        <f t="shared" si="11"/>
        <v/>
      </c>
      <c r="H146" s="12" t="str">
        <f t="shared" si="12"/>
        <v/>
      </c>
      <c r="I146" s="12" t="str">
        <f t="shared" si="13"/>
        <v/>
      </c>
      <c r="J146" s="12" t="str">
        <f t="shared" si="14"/>
        <v/>
      </c>
    </row>
    <row r="147" spans="6:10" x14ac:dyDescent="0.25">
      <c r="F147" s="9" t="str">
        <f t="shared" si="10"/>
        <v/>
      </c>
      <c r="G147" s="10" t="str">
        <f t="shared" si="11"/>
        <v/>
      </c>
      <c r="H147" s="12" t="str">
        <f t="shared" si="12"/>
        <v/>
      </c>
      <c r="I147" s="12" t="str">
        <f t="shared" si="13"/>
        <v/>
      </c>
      <c r="J147" s="12" t="str">
        <f t="shared" si="14"/>
        <v/>
      </c>
    </row>
    <row r="148" spans="6:10" x14ac:dyDescent="0.25">
      <c r="F148" s="9" t="str">
        <f t="shared" si="10"/>
        <v/>
      </c>
      <c r="G148" s="10" t="str">
        <f t="shared" si="11"/>
        <v/>
      </c>
      <c r="H148" s="12" t="str">
        <f t="shared" si="12"/>
        <v/>
      </c>
      <c r="I148" s="12" t="str">
        <f t="shared" si="13"/>
        <v/>
      </c>
      <c r="J148" s="12" t="str">
        <f t="shared" si="14"/>
        <v/>
      </c>
    </row>
    <row r="149" spans="6:10" x14ac:dyDescent="0.25">
      <c r="F149" s="9" t="str">
        <f t="shared" si="10"/>
        <v/>
      </c>
      <c r="G149" s="10" t="str">
        <f t="shared" si="11"/>
        <v/>
      </c>
      <c r="H149" s="12" t="str">
        <f t="shared" si="12"/>
        <v/>
      </c>
      <c r="I149" s="12" t="str">
        <f t="shared" si="13"/>
        <v/>
      </c>
      <c r="J149" s="12" t="str">
        <f t="shared" si="14"/>
        <v/>
      </c>
    </row>
    <row r="150" spans="6:10" x14ac:dyDescent="0.25">
      <c r="F150" s="9" t="str">
        <f t="shared" si="10"/>
        <v/>
      </c>
      <c r="G150" s="10" t="str">
        <f t="shared" si="11"/>
        <v/>
      </c>
      <c r="H150" s="12" t="str">
        <f t="shared" si="12"/>
        <v/>
      </c>
      <c r="I150" s="12" t="str">
        <f t="shared" si="13"/>
        <v/>
      </c>
      <c r="J150" s="12" t="str">
        <f t="shared" si="14"/>
        <v/>
      </c>
    </row>
    <row r="151" spans="6:10" x14ac:dyDescent="0.25">
      <c r="F151" s="9" t="str">
        <f t="shared" si="10"/>
        <v/>
      </c>
      <c r="G151" s="10" t="str">
        <f t="shared" si="11"/>
        <v/>
      </c>
      <c r="H151" s="12" t="str">
        <f t="shared" si="12"/>
        <v/>
      </c>
      <c r="I151" s="12" t="str">
        <f t="shared" si="13"/>
        <v/>
      </c>
      <c r="J151" s="12" t="str">
        <f t="shared" si="14"/>
        <v/>
      </c>
    </row>
    <row r="152" spans="6:10" x14ac:dyDescent="0.25">
      <c r="F152" s="9" t="str">
        <f t="shared" si="10"/>
        <v/>
      </c>
      <c r="G152" s="10" t="str">
        <f t="shared" si="11"/>
        <v/>
      </c>
      <c r="H152" s="12" t="str">
        <f t="shared" si="12"/>
        <v/>
      </c>
      <c r="I152" s="12" t="str">
        <f t="shared" si="13"/>
        <v/>
      </c>
      <c r="J152" s="12" t="str">
        <f t="shared" si="14"/>
        <v/>
      </c>
    </row>
    <row r="153" spans="6:10" x14ac:dyDescent="0.25">
      <c r="F153" s="9" t="str">
        <f t="shared" si="10"/>
        <v/>
      </c>
      <c r="G153" s="10" t="str">
        <f t="shared" si="11"/>
        <v/>
      </c>
      <c r="H153" s="12" t="str">
        <f t="shared" si="12"/>
        <v/>
      </c>
      <c r="I153" s="12" t="str">
        <f t="shared" si="13"/>
        <v/>
      </c>
      <c r="J153" s="12" t="str">
        <f t="shared" si="14"/>
        <v/>
      </c>
    </row>
    <row r="154" spans="6:10" x14ac:dyDescent="0.25">
      <c r="F154" s="9" t="str">
        <f t="shared" si="10"/>
        <v/>
      </c>
      <c r="G154" s="10" t="str">
        <f t="shared" si="11"/>
        <v/>
      </c>
      <c r="H154" s="12" t="str">
        <f t="shared" si="12"/>
        <v/>
      </c>
      <c r="I154" s="12" t="str">
        <f t="shared" si="13"/>
        <v/>
      </c>
      <c r="J154" s="12" t="str">
        <f t="shared" si="14"/>
        <v/>
      </c>
    </row>
    <row r="155" spans="6:10" x14ac:dyDescent="0.25">
      <c r="F155" s="9" t="str">
        <f t="shared" si="10"/>
        <v/>
      </c>
      <c r="G155" s="10" t="str">
        <f t="shared" si="11"/>
        <v/>
      </c>
      <c r="H155" s="12" t="str">
        <f t="shared" si="12"/>
        <v/>
      </c>
      <c r="I155" s="12" t="str">
        <f t="shared" si="13"/>
        <v/>
      </c>
      <c r="J155" s="12" t="str">
        <f t="shared" si="14"/>
        <v/>
      </c>
    </row>
    <row r="156" spans="6:10" x14ac:dyDescent="0.25">
      <c r="F156" s="9" t="str">
        <f t="shared" si="10"/>
        <v/>
      </c>
      <c r="G156" s="10" t="str">
        <f t="shared" si="11"/>
        <v/>
      </c>
      <c r="H156" s="12" t="str">
        <f t="shared" si="12"/>
        <v/>
      </c>
      <c r="I156" s="12" t="str">
        <f t="shared" si="13"/>
        <v/>
      </c>
      <c r="J156" s="12" t="str">
        <f t="shared" si="14"/>
        <v/>
      </c>
    </row>
    <row r="157" spans="6:10" x14ac:dyDescent="0.25">
      <c r="F157" s="9" t="str">
        <f t="shared" si="10"/>
        <v/>
      </c>
      <c r="G157" s="10" t="str">
        <f t="shared" si="11"/>
        <v/>
      </c>
      <c r="H157" s="12" t="str">
        <f t="shared" si="12"/>
        <v/>
      </c>
      <c r="I157" s="12" t="str">
        <f t="shared" si="13"/>
        <v/>
      </c>
      <c r="J157" s="12" t="str">
        <f t="shared" si="14"/>
        <v/>
      </c>
    </row>
    <row r="158" spans="6:10" x14ac:dyDescent="0.25">
      <c r="F158" s="9" t="str">
        <f t="shared" si="10"/>
        <v/>
      </c>
      <c r="G158" s="10" t="str">
        <f t="shared" si="11"/>
        <v/>
      </c>
      <c r="H158" s="12" t="str">
        <f t="shared" si="12"/>
        <v/>
      </c>
      <c r="I158" s="12" t="str">
        <f t="shared" si="13"/>
        <v/>
      </c>
      <c r="J158" s="12" t="str">
        <f t="shared" si="14"/>
        <v/>
      </c>
    </row>
    <row r="159" spans="6:10" x14ac:dyDescent="0.25">
      <c r="F159" s="9" t="str">
        <f t="shared" si="10"/>
        <v/>
      </c>
      <c r="G159" s="10" t="str">
        <f t="shared" si="11"/>
        <v/>
      </c>
      <c r="H159" s="12" t="str">
        <f t="shared" si="12"/>
        <v/>
      </c>
      <c r="I159" s="12" t="str">
        <f t="shared" si="13"/>
        <v/>
      </c>
      <c r="J159" s="12" t="str">
        <f t="shared" si="14"/>
        <v/>
      </c>
    </row>
    <row r="160" spans="6:10" x14ac:dyDescent="0.25">
      <c r="F160" s="9" t="str">
        <f t="shared" si="10"/>
        <v/>
      </c>
      <c r="G160" s="10" t="str">
        <f t="shared" si="11"/>
        <v/>
      </c>
      <c r="H160" s="12" t="str">
        <f t="shared" si="12"/>
        <v/>
      </c>
      <c r="I160" s="12" t="str">
        <f t="shared" si="13"/>
        <v/>
      </c>
      <c r="J160" s="12" t="str">
        <f t="shared" si="14"/>
        <v/>
      </c>
    </row>
    <row r="161" spans="6:10" x14ac:dyDescent="0.25">
      <c r="F161" s="9" t="str">
        <f t="shared" si="10"/>
        <v/>
      </c>
      <c r="G161" s="10" t="str">
        <f t="shared" si="11"/>
        <v/>
      </c>
      <c r="H161" s="12" t="str">
        <f t="shared" si="12"/>
        <v/>
      </c>
      <c r="I161" s="12" t="str">
        <f t="shared" si="13"/>
        <v/>
      </c>
      <c r="J161" s="12" t="str">
        <f t="shared" si="14"/>
        <v/>
      </c>
    </row>
    <row r="162" spans="6:10" x14ac:dyDescent="0.25">
      <c r="F162" s="9" t="str">
        <f t="shared" si="10"/>
        <v/>
      </c>
      <c r="G162" s="10" t="str">
        <f t="shared" si="11"/>
        <v/>
      </c>
      <c r="H162" s="12" t="str">
        <f t="shared" si="12"/>
        <v/>
      </c>
      <c r="I162" s="12" t="str">
        <f t="shared" si="13"/>
        <v/>
      </c>
      <c r="J162" s="12" t="str">
        <f t="shared" si="14"/>
        <v/>
      </c>
    </row>
    <row r="163" spans="6:10" x14ac:dyDescent="0.25">
      <c r="F163" s="9" t="str">
        <f t="shared" si="10"/>
        <v/>
      </c>
      <c r="G163" s="10" t="str">
        <f t="shared" si="11"/>
        <v/>
      </c>
      <c r="H163" s="12" t="str">
        <f t="shared" si="12"/>
        <v/>
      </c>
      <c r="I163" s="12" t="str">
        <f t="shared" si="13"/>
        <v/>
      </c>
      <c r="J163" s="12" t="str">
        <f t="shared" si="14"/>
        <v/>
      </c>
    </row>
    <row r="164" spans="6:10" x14ac:dyDescent="0.25">
      <c r="F164" s="9" t="str">
        <f t="shared" si="10"/>
        <v/>
      </c>
      <c r="G164" s="10" t="str">
        <f t="shared" si="11"/>
        <v/>
      </c>
      <c r="H164" s="12" t="str">
        <f t="shared" si="12"/>
        <v/>
      </c>
      <c r="I164" s="12" t="str">
        <f t="shared" si="13"/>
        <v/>
      </c>
      <c r="J164" s="12" t="str">
        <f t="shared" si="14"/>
        <v/>
      </c>
    </row>
    <row r="165" spans="6:10" x14ac:dyDescent="0.25">
      <c r="F165" s="9" t="str">
        <f t="shared" si="10"/>
        <v/>
      </c>
      <c r="G165" s="10" t="str">
        <f t="shared" si="11"/>
        <v/>
      </c>
      <c r="H165" s="12" t="str">
        <f t="shared" si="12"/>
        <v/>
      </c>
      <c r="I165" s="12" t="str">
        <f t="shared" si="13"/>
        <v/>
      </c>
      <c r="J165" s="12" t="str">
        <f t="shared" si="14"/>
        <v/>
      </c>
    </row>
    <row r="166" spans="6:10" x14ac:dyDescent="0.25">
      <c r="F166" s="9" t="str">
        <f t="shared" si="10"/>
        <v/>
      </c>
      <c r="G166" s="10" t="str">
        <f t="shared" si="11"/>
        <v/>
      </c>
      <c r="H166" s="12" t="str">
        <f t="shared" si="12"/>
        <v/>
      </c>
      <c r="I166" s="12" t="str">
        <f t="shared" si="13"/>
        <v/>
      </c>
      <c r="J166" s="12" t="str">
        <f t="shared" si="14"/>
        <v/>
      </c>
    </row>
    <row r="167" spans="6:10" x14ac:dyDescent="0.25">
      <c r="F167" s="9" t="str">
        <f t="shared" si="10"/>
        <v/>
      </c>
      <c r="G167" s="10" t="str">
        <f t="shared" si="11"/>
        <v/>
      </c>
      <c r="H167" s="12" t="str">
        <f t="shared" si="12"/>
        <v/>
      </c>
      <c r="I167" s="12" t="str">
        <f t="shared" si="13"/>
        <v/>
      </c>
      <c r="J167" s="12" t="str">
        <f t="shared" si="14"/>
        <v/>
      </c>
    </row>
    <row r="168" spans="6:10" x14ac:dyDescent="0.25">
      <c r="F168" s="9" t="str">
        <f t="shared" si="10"/>
        <v/>
      </c>
      <c r="G168" s="10" t="str">
        <f t="shared" si="11"/>
        <v/>
      </c>
      <c r="H168" s="12" t="str">
        <f t="shared" si="12"/>
        <v/>
      </c>
      <c r="I168" s="12" t="str">
        <f t="shared" si="13"/>
        <v/>
      </c>
      <c r="J168" s="12" t="str">
        <f t="shared" si="14"/>
        <v/>
      </c>
    </row>
    <row r="169" spans="6:10" x14ac:dyDescent="0.25">
      <c r="F169" s="9" t="str">
        <f t="shared" si="10"/>
        <v/>
      </c>
      <c r="G169" s="10" t="str">
        <f t="shared" si="11"/>
        <v/>
      </c>
      <c r="H169" s="12" t="str">
        <f t="shared" si="12"/>
        <v/>
      </c>
      <c r="I169" s="12" t="str">
        <f t="shared" si="13"/>
        <v/>
      </c>
      <c r="J169" s="12" t="str">
        <f t="shared" si="14"/>
        <v/>
      </c>
    </row>
    <row r="170" spans="6:10" x14ac:dyDescent="0.25">
      <c r="F170" s="9" t="str">
        <f t="shared" si="10"/>
        <v/>
      </c>
      <c r="G170" s="10" t="str">
        <f t="shared" si="11"/>
        <v/>
      </c>
      <c r="H170" s="12" t="str">
        <f t="shared" si="12"/>
        <v/>
      </c>
      <c r="I170" s="12" t="str">
        <f t="shared" si="13"/>
        <v/>
      </c>
      <c r="J170" s="12" t="str">
        <f t="shared" si="14"/>
        <v/>
      </c>
    </row>
    <row r="171" spans="6:10" x14ac:dyDescent="0.25">
      <c r="F171" s="9" t="str">
        <f t="shared" si="10"/>
        <v/>
      </c>
      <c r="G171" s="10" t="str">
        <f t="shared" si="11"/>
        <v/>
      </c>
      <c r="H171" s="12" t="str">
        <f t="shared" si="12"/>
        <v/>
      </c>
      <c r="I171" s="12" t="str">
        <f t="shared" si="13"/>
        <v/>
      </c>
      <c r="J171" s="12" t="str">
        <f t="shared" si="14"/>
        <v/>
      </c>
    </row>
    <row r="172" spans="6:10" x14ac:dyDescent="0.25">
      <c r="F172" s="9" t="str">
        <f t="shared" si="10"/>
        <v/>
      </c>
      <c r="G172" s="10" t="str">
        <f t="shared" si="11"/>
        <v/>
      </c>
      <c r="H172" s="12" t="str">
        <f t="shared" si="12"/>
        <v/>
      </c>
      <c r="I172" s="12" t="str">
        <f t="shared" si="13"/>
        <v/>
      </c>
      <c r="J172" s="12" t="str">
        <f t="shared" si="14"/>
        <v/>
      </c>
    </row>
    <row r="173" spans="6:10" x14ac:dyDescent="0.25">
      <c r="F173" s="9" t="str">
        <f t="shared" si="10"/>
        <v/>
      </c>
      <c r="G173" s="10" t="str">
        <f t="shared" si="11"/>
        <v/>
      </c>
      <c r="H173" s="12" t="str">
        <f t="shared" si="12"/>
        <v/>
      </c>
      <c r="I173" s="12" t="str">
        <f t="shared" si="13"/>
        <v/>
      </c>
      <c r="J173" s="12" t="str">
        <f t="shared" si="14"/>
        <v/>
      </c>
    </row>
    <row r="174" spans="6:10" x14ac:dyDescent="0.25">
      <c r="F174" s="9" t="str">
        <f t="shared" si="10"/>
        <v/>
      </c>
      <c r="G174" s="10" t="str">
        <f t="shared" si="11"/>
        <v/>
      </c>
      <c r="H174" s="12" t="str">
        <f t="shared" si="12"/>
        <v/>
      </c>
      <c r="I174" s="12" t="str">
        <f t="shared" si="13"/>
        <v/>
      </c>
      <c r="J174" s="12" t="str">
        <f t="shared" si="14"/>
        <v/>
      </c>
    </row>
    <row r="175" spans="6:10" x14ac:dyDescent="0.25">
      <c r="F175" s="9" t="str">
        <f t="shared" si="10"/>
        <v/>
      </c>
      <c r="G175" s="10" t="str">
        <f t="shared" si="11"/>
        <v/>
      </c>
      <c r="H175" s="12" t="str">
        <f t="shared" si="12"/>
        <v/>
      </c>
      <c r="I175" s="12" t="str">
        <f t="shared" si="13"/>
        <v/>
      </c>
      <c r="J175" s="12" t="str">
        <f t="shared" si="14"/>
        <v/>
      </c>
    </row>
    <row r="176" spans="6:10" x14ac:dyDescent="0.25">
      <c r="F176" s="9" t="str">
        <f t="shared" si="10"/>
        <v/>
      </c>
      <c r="G176" s="10" t="str">
        <f t="shared" si="11"/>
        <v/>
      </c>
      <c r="H176" s="12" t="str">
        <f t="shared" si="12"/>
        <v/>
      </c>
      <c r="I176" s="12" t="str">
        <f t="shared" si="13"/>
        <v/>
      </c>
      <c r="J176" s="12" t="str">
        <f t="shared" si="14"/>
        <v/>
      </c>
    </row>
    <row r="177" spans="6:10" x14ac:dyDescent="0.25">
      <c r="F177" s="9" t="str">
        <f t="shared" si="10"/>
        <v/>
      </c>
      <c r="G177" s="10" t="str">
        <f t="shared" si="11"/>
        <v/>
      </c>
      <c r="H177" s="12" t="str">
        <f t="shared" si="12"/>
        <v/>
      </c>
      <c r="I177" s="12" t="str">
        <f t="shared" si="13"/>
        <v/>
      </c>
      <c r="J177" s="12" t="str">
        <f t="shared" si="14"/>
        <v/>
      </c>
    </row>
    <row r="178" spans="6:10" x14ac:dyDescent="0.25">
      <c r="F178" s="9" t="str">
        <f t="shared" si="10"/>
        <v/>
      </c>
      <c r="G178" s="10" t="str">
        <f t="shared" si="11"/>
        <v/>
      </c>
      <c r="H178" s="12" t="str">
        <f t="shared" si="12"/>
        <v/>
      </c>
      <c r="I178" s="12" t="str">
        <f t="shared" si="13"/>
        <v/>
      </c>
      <c r="J178" s="12" t="str">
        <f t="shared" si="14"/>
        <v/>
      </c>
    </row>
    <row r="179" spans="6:10" x14ac:dyDescent="0.25">
      <c r="F179" s="9" t="str">
        <f t="shared" si="10"/>
        <v/>
      </c>
      <c r="G179" s="10" t="str">
        <f t="shared" si="11"/>
        <v/>
      </c>
      <c r="H179" s="12" t="str">
        <f t="shared" si="12"/>
        <v/>
      </c>
      <c r="I179" s="12" t="str">
        <f t="shared" si="13"/>
        <v/>
      </c>
      <c r="J179" s="12" t="str">
        <f t="shared" si="14"/>
        <v/>
      </c>
    </row>
    <row r="180" spans="6:10" x14ac:dyDescent="0.25">
      <c r="F180" s="9" t="str">
        <f t="shared" si="10"/>
        <v/>
      </c>
      <c r="G180" s="10" t="str">
        <f t="shared" si="11"/>
        <v/>
      </c>
      <c r="H180" s="12" t="str">
        <f t="shared" si="12"/>
        <v/>
      </c>
      <c r="I180" s="12" t="str">
        <f t="shared" si="13"/>
        <v/>
      </c>
      <c r="J180" s="12" t="str">
        <f t="shared" si="14"/>
        <v/>
      </c>
    </row>
    <row r="181" spans="6:10" x14ac:dyDescent="0.25">
      <c r="F181" s="9" t="str">
        <f t="shared" si="10"/>
        <v/>
      </c>
      <c r="G181" s="10" t="str">
        <f t="shared" si="11"/>
        <v/>
      </c>
      <c r="H181" s="12" t="str">
        <f t="shared" si="12"/>
        <v/>
      </c>
      <c r="I181" s="12" t="str">
        <f t="shared" si="13"/>
        <v/>
      </c>
      <c r="J181" s="12" t="str">
        <f t="shared" si="14"/>
        <v/>
      </c>
    </row>
    <row r="182" spans="6:10" x14ac:dyDescent="0.25">
      <c r="F182" s="9" t="str">
        <f t="shared" si="10"/>
        <v/>
      </c>
      <c r="G182" s="10" t="str">
        <f t="shared" si="11"/>
        <v/>
      </c>
      <c r="H182" s="12" t="str">
        <f t="shared" si="12"/>
        <v/>
      </c>
      <c r="I182" s="12" t="str">
        <f t="shared" si="13"/>
        <v/>
      </c>
      <c r="J182" s="12" t="str">
        <f t="shared" si="14"/>
        <v/>
      </c>
    </row>
    <row r="183" spans="6:10" x14ac:dyDescent="0.25">
      <c r="F183" s="9" t="str">
        <f t="shared" si="10"/>
        <v/>
      </c>
      <c r="G183" s="10" t="str">
        <f t="shared" si="11"/>
        <v/>
      </c>
      <c r="H183" s="12" t="str">
        <f t="shared" si="12"/>
        <v/>
      </c>
      <c r="I183" s="12" t="str">
        <f t="shared" si="13"/>
        <v/>
      </c>
      <c r="J183" s="12" t="str">
        <f t="shared" si="14"/>
        <v/>
      </c>
    </row>
    <row r="184" spans="6:10" x14ac:dyDescent="0.25">
      <c r="F184" s="9" t="str">
        <f t="shared" si="10"/>
        <v/>
      </c>
      <c r="G184" s="10" t="str">
        <f t="shared" si="11"/>
        <v/>
      </c>
      <c r="H184" s="12" t="str">
        <f t="shared" si="12"/>
        <v/>
      </c>
      <c r="I184" s="12" t="str">
        <f t="shared" si="13"/>
        <v/>
      </c>
      <c r="J184" s="12" t="str">
        <f t="shared" si="14"/>
        <v/>
      </c>
    </row>
    <row r="185" spans="6:10" x14ac:dyDescent="0.25">
      <c r="F185" s="9" t="str">
        <f t="shared" si="10"/>
        <v/>
      </c>
      <c r="G185" s="10" t="str">
        <f t="shared" si="11"/>
        <v/>
      </c>
      <c r="H185" s="12" t="str">
        <f t="shared" si="12"/>
        <v/>
      </c>
      <c r="I185" s="12" t="str">
        <f t="shared" si="13"/>
        <v/>
      </c>
      <c r="J185" s="12" t="str">
        <f t="shared" si="14"/>
        <v/>
      </c>
    </row>
    <row r="186" spans="6:10" x14ac:dyDescent="0.25">
      <c r="F186" s="9" t="str">
        <f t="shared" si="10"/>
        <v/>
      </c>
      <c r="G186" s="10" t="str">
        <f t="shared" si="11"/>
        <v/>
      </c>
      <c r="H186" s="12" t="str">
        <f t="shared" si="12"/>
        <v/>
      </c>
      <c r="I186" s="12" t="str">
        <f t="shared" si="13"/>
        <v/>
      </c>
      <c r="J186" s="12" t="str">
        <f t="shared" si="14"/>
        <v/>
      </c>
    </row>
    <row r="187" spans="6:10" x14ac:dyDescent="0.25">
      <c r="F187" s="9" t="str">
        <f t="shared" si="10"/>
        <v/>
      </c>
      <c r="G187" s="10" t="str">
        <f t="shared" si="11"/>
        <v/>
      </c>
      <c r="H187" s="12" t="str">
        <f t="shared" si="12"/>
        <v/>
      </c>
      <c r="I187" s="12" t="str">
        <f t="shared" si="13"/>
        <v/>
      </c>
      <c r="J187" s="12" t="str">
        <f t="shared" si="14"/>
        <v/>
      </c>
    </row>
    <row r="188" spans="6:10" x14ac:dyDescent="0.25">
      <c r="F188" s="9" t="str">
        <f t="shared" si="10"/>
        <v/>
      </c>
      <c r="G188" s="10" t="str">
        <f t="shared" si="11"/>
        <v/>
      </c>
      <c r="H188" s="12" t="str">
        <f t="shared" si="12"/>
        <v/>
      </c>
      <c r="I188" s="12" t="str">
        <f t="shared" si="13"/>
        <v/>
      </c>
      <c r="J188" s="12" t="str">
        <f t="shared" si="14"/>
        <v/>
      </c>
    </row>
    <row r="189" spans="6:10" x14ac:dyDescent="0.25">
      <c r="F189" s="9" t="str">
        <f t="shared" si="10"/>
        <v/>
      </c>
      <c r="G189" s="10" t="str">
        <f t="shared" si="11"/>
        <v/>
      </c>
      <c r="H189" s="12" t="str">
        <f t="shared" si="12"/>
        <v/>
      </c>
      <c r="I189" s="12" t="str">
        <f t="shared" si="13"/>
        <v/>
      </c>
      <c r="J189" s="12" t="str">
        <f t="shared" si="14"/>
        <v/>
      </c>
    </row>
    <row r="190" spans="6:10" x14ac:dyDescent="0.25">
      <c r="F190" s="9" t="str">
        <f t="shared" si="10"/>
        <v/>
      </c>
      <c r="G190" s="10" t="str">
        <f t="shared" si="11"/>
        <v/>
      </c>
      <c r="H190" s="12" t="str">
        <f t="shared" si="12"/>
        <v/>
      </c>
      <c r="I190" s="12" t="str">
        <f t="shared" si="13"/>
        <v/>
      </c>
      <c r="J190" s="12" t="str">
        <f t="shared" si="14"/>
        <v/>
      </c>
    </row>
    <row r="191" spans="6:10" x14ac:dyDescent="0.25">
      <c r="F191" s="9" t="str">
        <f t="shared" si="10"/>
        <v/>
      </c>
      <c r="G191" s="10" t="str">
        <f t="shared" si="11"/>
        <v/>
      </c>
      <c r="H191" s="12" t="str">
        <f t="shared" si="12"/>
        <v/>
      </c>
      <c r="I191" s="12" t="str">
        <f t="shared" si="13"/>
        <v/>
      </c>
      <c r="J191" s="12" t="str">
        <f t="shared" si="14"/>
        <v/>
      </c>
    </row>
    <row r="192" spans="6:10" x14ac:dyDescent="0.25">
      <c r="F192" s="9" t="str">
        <f t="shared" si="10"/>
        <v/>
      </c>
      <c r="G192" s="10" t="str">
        <f t="shared" si="11"/>
        <v/>
      </c>
      <c r="H192" s="12" t="str">
        <f t="shared" si="12"/>
        <v/>
      </c>
      <c r="I192" s="12" t="str">
        <f t="shared" si="13"/>
        <v/>
      </c>
      <c r="J192" s="12" t="str">
        <f t="shared" si="14"/>
        <v/>
      </c>
    </row>
    <row r="193" spans="6:10" x14ac:dyDescent="0.25">
      <c r="F193" s="9" t="str">
        <f t="shared" si="10"/>
        <v/>
      </c>
      <c r="G193" s="10" t="str">
        <f t="shared" si="11"/>
        <v/>
      </c>
      <c r="H193" s="12" t="str">
        <f t="shared" si="12"/>
        <v/>
      </c>
      <c r="I193" s="12" t="str">
        <f t="shared" si="13"/>
        <v/>
      </c>
      <c r="J193" s="12" t="str">
        <f t="shared" si="14"/>
        <v/>
      </c>
    </row>
    <row r="194" spans="6:10" x14ac:dyDescent="0.25">
      <c r="F194" s="9" t="str">
        <f t="shared" si="10"/>
        <v/>
      </c>
      <c r="G194" s="10" t="str">
        <f t="shared" si="11"/>
        <v/>
      </c>
      <c r="H194" s="12" t="str">
        <f t="shared" si="12"/>
        <v/>
      </c>
      <c r="I194" s="12" t="str">
        <f t="shared" si="13"/>
        <v/>
      </c>
      <c r="J194" s="12" t="str">
        <f t="shared" si="14"/>
        <v/>
      </c>
    </row>
    <row r="195" spans="6:10" x14ac:dyDescent="0.25">
      <c r="F195" s="9" t="str">
        <f t="shared" si="10"/>
        <v/>
      </c>
      <c r="G195" s="10" t="str">
        <f t="shared" si="11"/>
        <v/>
      </c>
      <c r="H195" s="12" t="str">
        <f t="shared" si="12"/>
        <v/>
      </c>
      <c r="I195" s="12" t="str">
        <f t="shared" si="13"/>
        <v/>
      </c>
      <c r="J195" s="12" t="str">
        <f t="shared" si="14"/>
        <v/>
      </c>
    </row>
    <row r="196" spans="6:10" x14ac:dyDescent="0.25">
      <c r="F196" s="9" t="str">
        <f t="shared" si="10"/>
        <v/>
      </c>
      <c r="G196" s="10" t="str">
        <f t="shared" si="11"/>
        <v/>
      </c>
      <c r="H196" s="12" t="str">
        <f t="shared" si="12"/>
        <v/>
      </c>
      <c r="I196" s="12" t="str">
        <f t="shared" si="13"/>
        <v/>
      </c>
      <c r="J196" s="12" t="str">
        <f t="shared" si="14"/>
        <v/>
      </c>
    </row>
    <row r="197" spans="6:10" x14ac:dyDescent="0.25">
      <c r="F197" s="9" t="str">
        <f t="shared" ref="F197:F260" si="15">IF(F196&lt;$C$4, F196+1,"")</f>
        <v/>
      </c>
      <c r="G197" s="10" t="str">
        <f t="shared" ref="G197:G260" si="16">IF(F196&lt;$C$4,$C$7*(1+$C$5)^(F197-1),"")</f>
        <v/>
      </c>
      <c r="H197" s="12" t="str">
        <f t="shared" ref="H197:H260" si="17">IF(F196&lt;$C$4, J196*$C$3,"")</f>
        <v/>
      </c>
      <c r="I197" s="12" t="str">
        <f t="shared" ref="I197:I260" si="18">IF(F196&lt;$C$4,G197-H197,"")</f>
        <v/>
      </c>
      <c r="J197" s="12" t="str">
        <f t="shared" ref="J197:J260" si="19">IF(F196&lt;$C$4, J196-I197,"")</f>
        <v/>
      </c>
    </row>
    <row r="198" spans="6:10" x14ac:dyDescent="0.25">
      <c r="F198" s="9" t="str">
        <f t="shared" si="15"/>
        <v/>
      </c>
      <c r="G198" s="10" t="str">
        <f t="shared" si="16"/>
        <v/>
      </c>
      <c r="H198" s="12" t="str">
        <f t="shared" si="17"/>
        <v/>
      </c>
      <c r="I198" s="12" t="str">
        <f t="shared" si="18"/>
        <v/>
      </c>
      <c r="J198" s="12" t="str">
        <f t="shared" si="19"/>
        <v/>
      </c>
    </row>
    <row r="199" spans="6:10" x14ac:dyDescent="0.25">
      <c r="F199" s="9" t="str">
        <f t="shared" si="15"/>
        <v/>
      </c>
      <c r="G199" s="10" t="str">
        <f t="shared" si="16"/>
        <v/>
      </c>
      <c r="H199" s="12" t="str">
        <f t="shared" si="17"/>
        <v/>
      </c>
      <c r="I199" s="12" t="str">
        <f t="shared" si="18"/>
        <v/>
      </c>
      <c r="J199" s="12" t="str">
        <f t="shared" si="19"/>
        <v/>
      </c>
    </row>
    <row r="200" spans="6:10" x14ac:dyDescent="0.25">
      <c r="F200" s="9" t="str">
        <f t="shared" si="15"/>
        <v/>
      </c>
      <c r="G200" s="10" t="str">
        <f t="shared" si="16"/>
        <v/>
      </c>
      <c r="H200" s="12" t="str">
        <f t="shared" si="17"/>
        <v/>
      </c>
      <c r="I200" s="12" t="str">
        <f t="shared" si="18"/>
        <v/>
      </c>
      <c r="J200" s="12" t="str">
        <f t="shared" si="19"/>
        <v/>
      </c>
    </row>
    <row r="201" spans="6:10" x14ac:dyDescent="0.25">
      <c r="F201" s="9" t="str">
        <f t="shared" si="15"/>
        <v/>
      </c>
      <c r="G201" s="10" t="str">
        <f t="shared" si="16"/>
        <v/>
      </c>
      <c r="H201" s="12" t="str">
        <f t="shared" si="17"/>
        <v/>
      </c>
      <c r="I201" s="12" t="str">
        <f t="shared" si="18"/>
        <v/>
      </c>
      <c r="J201" s="12" t="str">
        <f t="shared" si="19"/>
        <v/>
      </c>
    </row>
    <row r="202" spans="6:10" x14ac:dyDescent="0.25">
      <c r="F202" s="9" t="str">
        <f t="shared" si="15"/>
        <v/>
      </c>
      <c r="G202" s="10" t="str">
        <f t="shared" si="16"/>
        <v/>
      </c>
      <c r="H202" s="12" t="str">
        <f t="shared" si="17"/>
        <v/>
      </c>
      <c r="I202" s="12" t="str">
        <f t="shared" si="18"/>
        <v/>
      </c>
      <c r="J202" s="12" t="str">
        <f t="shared" si="19"/>
        <v/>
      </c>
    </row>
    <row r="203" spans="6:10" x14ac:dyDescent="0.25">
      <c r="F203" s="9" t="str">
        <f t="shared" si="15"/>
        <v/>
      </c>
      <c r="G203" s="10" t="str">
        <f t="shared" si="16"/>
        <v/>
      </c>
      <c r="H203" s="12" t="str">
        <f t="shared" si="17"/>
        <v/>
      </c>
      <c r="I203" s="12" t="str">
        <f t="shared" si="18"/>
        <v/>
      </c>
      <c r="J203" s="12" t="str">
        <f t="shared" si="19"/>
        <v/>
      </c>
    </row>
    <row r="204" spans="6:10" x14ac:dyDescent="0.25">
      <c r="F204" s="9" t="str">
        <f t="shared" si="15"/>
        <v/>
      </c>
      <c r="G204" s="10" t="str">
        <f t="shared" si="16"/>
        <v/>
      </c>
      <c r="H204" s="12" t="str">
        <f t="shared" si="17"/>
        <v/>
      </c>
      <c r="I204" s="12" t="str">
        <f t="shared" si="18"/>
        <v/>
      </c>
      <c r="J204" s="12" t="str">
        <f t="shared" si="19"/>
        <v/>
      </c>
    </row>
    <row r="205" spans="6:10" x14ac:dyDescent="0.25">
      <c r="F205" s="9" t="str">
        <f t="shared" si="15"/>
        <v/>
      </c>
      <c r="G205" s="10" t="str">
        <f t="shared" si="16"/>
        <v/>
      </c>
      <c r="H205" s="12" t="str">
        <f t="shared" si="17"/>
        <v/>
      </c>
      <c r="I205" s="12" t="str">
        <f t="shared" si="18"/>
        <v/>
      </c>
      <c r="J205" s="12" t="str">
        <f t="shared" si="19"/>
        <v/>
      </c>
    </row>
    <row r="206" spans="6:10" x14ac:dyDescent="0.25">
      <c r="F206" s="9" t="str">
        <f t="shared" si="15"/>
        <v/>
      </c>
      <c r="G206" s="10" t="str">
        <f t="shared" si="16"/>
        <v/>
      </c>
      <c r="H206" s="12" t="str">
        <f t="shared" si="17"/>
        <v/>
      </c>
      <c r="I206" s="12" t="str">
        <f t="shared" si="18"/>
        <v/>
      </c>
      <c r="J206" s="12" t="str">
        <f t="shared" si="19"/>
        <v/>
      </c>
    </row>
    <row r="207" spans="6:10" x14ac:dyDescent="0.25">
      <c r="F207" s="9" t="str">
        <f t="shared" si="15"/>
        <v/>
      </c>
      <c r="G207" s="10" t="str">
        <f t="shared" si="16"/>
        <v/>
      </c>
      <c r="H207" s="12" t="str">
        <f t="shared" si="17"/>
        <v/>
      </c>
      <c r="I207" s="12" t="str">
        <f t="shared" si="18"/>
        <v/>
      </c>
      <c r="J207" s="12" t="str">
        <f t="shared" si="19"/>
        <v/>
      </c>
    </row>
    <row r="208" spans="6:10" x14ac:dyDescent="0.25">
      <c r="F208" s="9" t="str">
        <f t="shared" si="15"/>
        <v/>
      </c>
      <c r="G208" s="10" t="str">
        <f t="shared" si="16"/>
        <v/>
      </c>
      <c r="H208" s="12" t="str">
        <f t="shared" si="17"/>
        <v/>
      </c>
      <c r="I208" s="12" t="str">
        <f t="shared" si="18"/>
        <v/>
      </c>
      <c r="J208" s="12" t="str">
        <f t="shared" si="19"/>
        <v/>
      </c>
    </row>
    <row r="209" spans="6:10" x14ac:dyDescent="0.25">
      <c r="F209" s="9" t="str">
        <f t="shared" si="15"/>
        <v/>
      </c>
      <c r="G209" s="10" t="str">
        <f t="shared" si="16"/>
        <v/>
      </c>
      <c r="H209" s="12" t="str">
        <f t="shared" si="17"/>
        <v/>
      </c>
      <c r="I209" s="12" t="str">
        <f t="shared" si="18"/>
        <v/>
      </c>
      <c r="J209" s="12" t="str">
        <f t="shared" si="19"/>
        <v/>
      </c>
    </row>
    <row r="210" spans="6:10" x14ac:dyDescent="0.25">
      <c r="F210" s="9" t="str">
        <f t="shared" si="15"/>
        <v/>
      </c>
      <c r="G210" s="10" t="str">
        <f t="shared" si="16"/>
        <v/>
      </c>
      <c r="H210" s="12" t="str">
        <f t="shared" si="17"/>
        <v/>
      </c>
      <c r="I210" s="12" t="str">
        <f t="shared" si="18"/>
        <v/>
      </c>
      <c r="J210" s="12" t="str">
        <f t="shared" si="19"/>
        <v/>
      </c>
    </row>
    <row r="211" spans="6:10" x14ac:dyDescent="0.25">
      <c r="F211" s="9" t="str">
        <f t="shared" si="15"/>
        <v/>
      </c>
      <c r="G211" s="10" t="str">
        <f t="shared" si="16"/>
        <v/>
      </c>
      <c r="H211" s="12" t="str">
        <f t="shared" si="17"/>
        <v/>
      </c>
      <c r="I211" s="12" t="str">
        <f t="shared" si="18"/>
        <v/>
      </c>
      <c r="J211" s="12" t="str">
        <f t="shared" si="19"/>
        <v/>
      </c>
    </row>
    <row r="212" spans="6:10" x14ac:dyDescent="0.25">
      <c r="F212" s="9" t="str">
        <f t="shared" si="15"/>
        <v/>
      </c>
      <c r="G212" s="10" t="str">
        <f t="shared" si="16"/>
        <v/>
      </c>
      <c r="H212" s="12" t="str">
        <f t="shared" si="17"/>
        <v/>
      </c>
      <c r="I212" s="12" t="str">
        <f t="shared" si="18"/>
        <v/>
      </c>
      <c r="J212" s="12" t="str">
        <f t="shared" si="19"/>
        <v/>
      </c>
    </row>
    <row r="213" spans="6:10" x14ac:dyDescent="0.25">
      <c r="F213" s="9" t="str">
        <f t="shared" si="15"/>
        <v/>
      </c>
      <c r="G213" s="10" t="str">
        <f t="shared" si="16"/>
        <v/>
      </c>
      <c r="H213" s="12" t="str">
        <f t="shared" si="17"/>
        <v/>
      </c>
      <c r="I213" s="12" t="str">
        <f t="shared" si="18"/>
        <v/>
      </c>
      <c r="J213" s="12" t="str">
        <f t="shared" si="19"/>
        <v/>
      </c>
    </row>
    <row r="214" spans="6:10" x14ac:dyDescent="0.25">
      <c r="F214" s="9" t="str">
        <f t="shared" si="15"/>
        <v/>
      </c>
      <c r="G214" s="10" t="str">
        <f t="shared" si="16"/>
        <v/>
      </c>
      <c r="H214" s="12" t="str">
        <f t="shared" si="17"/>
        <v/>
      </c>
      <c r="I214" s="12" t="str">
        <f t="shared" si="18"/>
        <v/>
      </c>
      <c r="J214" s="12" t="str">
        <f t="shared" si="19"/>
        <v/>
      </c>
    </row>
    <row r="215" spans="6:10" x14ac:dyDescent="0.25">
      <c r="F215" s="9" t="str">
        <f t="shared" si="15"/>
        <v/>
      </c>
      <c r="G215" s="10" t="str">
        <f t="shared" si="16"/>
        <v/>
      </c>
      <c r="H215" s="12" t="str">
        <f t="shared" si="17"/>
        <v/>
      </c>
      <c r="I215" s="12" t="str">
        <f t="shared" si="18"/>
        <v/>
      </c>
      <c r="J215" s="12" t="str">
        <f t="shared" si="19"/>
        <v/>
      </c>
    </row>
    <row r="216" spans="6:10" x14ac:dyDescent="0.25">
      <c r="F216" s="9" t="str">
        <f t="shared" si="15"/>
        <v/>
      </c>
      <c r="G216" s="10" t="str">
        <f t="shared" si="16"/>
        <v/>
      </c>
      <c r="H216" s="12" t="str">
        <f t="shared" si="17"/>
        <v/>
      </c>
      <c r="I216" s="12" t="str">
        <f t="shared" si="18"/>
        <v/>
      </c>
      <c r="J216" s="12" t="str">
        <f t="shared" si="19"/>
        <v/>
      </c>
    </row>
    <row r="217" spans="6:10" x14ac:dyDescent="0.25">
      <c r="F217" s="9" t="str">
        <f t="shared" si="15"/>
        <v/>
      </c>
      <c r="G217" s="10" t="str">
        <f t="shared" si="16"/>
        <v/>
      </c>
      <c r="H217" s="12" t="str">
        <f t="shared" si="17"/>
        <v/>
      </c>
      <c r="I217" s="12" t="str">
        <f t="shared" si="18"/>
        <v/>
      </c>
      <c r="J217" s="12" t="str">
        <f t="shared" si="19"/>
        <v/>
      </c>
    </row>
    <row r="218" spans="6:10" x14ac:dyDescent="0.25">
      <c r="F218" s="9" t="str">
        <f t="shared" si="15"/>
        <v/>
      </c>
      <c r="G218" s="10" t="str">
        <f t="shared" si="16"/>
        <v/>
      </c>
      <c r="H218" s="12" t="str">
        <f t="shared" si="17"/>
        <v/>
      </c>
      <c r="I218" s="12" t="str">
        <f t="shared" si="18"/>
        <v/>
      </c>
      <c r="J218" s="12" t="str">
        <f t="shared" si="19"/>
        <v/>
      </c>
    </row>
    <row r="219" spans="6:10" x14ac:dyDescent="0.25">
      <c r="F219" s="9" t="str">
        <f t="shared" si="15"/>
        <v/>
      </c>
      <c r="G219" s="10" t="str">
        <f t="shared" si="16"/>
        <v/>
      </c>
      <c r="H219" s="12" t="str">
        <f t="shared" si="17"/>
        <v/>
      </c>
      <c r="I219" s="12" t="str">
        <f t="shared" si="18"/>
        <v/>
      </c>
      <c r="J219" s="12" t="str">
        <f t="shared" si="19"/>
        <v/>
      </c>
    </row>
    <row r="220" spans="6:10" x14ac:dyDescent="0.25">
      <c r="F220" s="9" t="str">
        <f t="shared" si="15"/>
        <v/>
      </c>
      <c r="G220" s="10" t="str">
        <f t="shared" si="16"/>
        <v/>
      </c>
      <c r="H220" s="12" t="str">
        <f t="shared" si="17"/>
        <v/>
      </c>
      <c r="I220" s="12" t="str">
        <f t="shared" si="18"/>
        <v/>
      </c>
      <c r="J220" s="12" t="str">
        <f t="shared" si="19"/>
        <v/>
      </c>
    </row>
    <row r="221" spans="6:10" x14ac:dyDescent="0.25">
      <c r="F221" s="9" t="str">
        <f t="shared" si="15"/>
        <v/>
      </c>
      <c r="G221" s="10" t="str">
        <f t="shared" si="16"/>
        <v/>
      </c>
      <c r="H221" s="12" t="str">
        <f t="shared" si="17"/>
        <v/>
      </c>
      <c r="I221" s="12" t="str">
        <f t="shared" si="18"/>
        <v/>
      </c>
      <c r="J221" s="12" t="str">
        <f t="shared" si="19"/>
        <v/>
      </c>
    </row>
    <row r="222" spans="6:10" x14ac:dyDescent="0.25">
      <c r="F222" s="9" t="str">
        <f t="shared" si="15"/>
        <v/>
      </c>
      <c r="G222" s="10" t="str">
        <f t="shared" si="16"/>
        <v/>
      </c>
      <c r="H222" s="12" t="str">
        <f t="shared" si="17"/>
        <v/>
      </c>
      <c r="I222" s="12" t="str">
        <f t="shared" si="18"/>
        <v/>
      </c>
      <c r="J222" s="12" t="str">
        <f t="shared" si="19"/>
        <v/>
      </c>
    </row>
    <row r="223" spans="6:10" x14ac:dyDescent="0.25">
      <c r="F223" s="9" t="str">
        <f t="shared" si="15"/>
        <v/>
      </c>
      <c r="G223" s="10" t="str">
        <f t="shared" si="16"/>
        <v/>
      </c>
      <c r="H223" s="12" t="str">
        <f t="shared" si="17"/>
        <v/>
      </c>
      <c r="I223" s="12" t="str">
        <f t="shared" si="18"/>
        <v/>
      </c>
      <c r="J223" s="12" t="str">
        <f t="shared" si="19"/>
        <v/>
      </c>
    </row>
    <row r="224" spans="6:10" x14ac:dyDescent="0.25">
      <c r="F224" s="9" t="str">
        <f t="shared" si="15"/>
        <v/>
      </c>
      <c r="G224" s="10" t="str">
        <f t="shared" si="16"/>
        <v/>
      </c>
      <c r="H224" s="12" t="str">
        <f t="shared" si="17"/>
        <v/>
      </c>
      <c r="I224" s="12" t="str">
        <f t="shared" si="18"/>
        <v/>
      </c>
      <c r="J224" s="12" t="str">
        <f t="shared" si="19"/>
        <v/>
      </c>
    </row>
    <row r="225" spans="6:10" x14ac:dyDescent="0.25">
      <c r="F225" s="9" t="str">
        <f t="shared" si="15"/>
        <v/>
      </c>
      <c r="G225" s="10" t="str">
        <f t="shared" si="16"/>
        <v/>
      </c>
      <c r="H225" s="12" t="str">
        <f t="shared" si="17"/>
        <v/>
      </c>
      <c r="I225" s="12" t="str">
        <f t="shared" si="18"/>
        <v/>
      </c>
      <c r="J225" s="12" t="str">
        <f t="shared" si="19"/>
        <v/>
      </c>
    </row>
    <row r="226" spans="6:10" x14ac:dyDescent="0.25">
      <c r="F226" s="9" t="str">
        <f t="shared" si="15"/>
        <v/>
      </c>
      <c r="G226" s="10" t="str">
        <f t="shared" si="16"/>
        <v/>
      </c>
      <c r="H226" s="12" t="str">
        <f t="shared" si="17"/>
        <v/>
      </c>
      <c r="I226" s="12" t="str">
        <f t="shared" si="18"/>
        <v/>
      </c>
      <c r="J226" s="12" t="str">
        <f t="shared" si="19"/>
        <v/>
      </c>
    </row>
    <row r="227" spans="6:10" x14ac:dyDescent="0.25">
      <c r="F227" s="9" t="str">
        <f t="shared" si="15"/>
        <v/>
      </c>
      <c r="G227" s="10" t="str">
        <f t="shared" si="16"/>
        <v/>
      </c>
      <c r="H227" s="12" t="str">
        <f t="shared" si="17"/>
        <v/>
      </c>
      <c r="I227" s="12" t="str">
        <f t="shared" si="18"/>
        <v/>
      </c>
      <c r="J227" s="12" t="str">
        <f t="shared" si="19"/>
        <v/>
      </c>
    </row>
    <row r="228" spans="6:10" x14ac:dyDescent="0.25">
      <c r="F228" s="9" t="str">
        <f t="shared" si="15"/>
        <v/>
      </c>
      <c r="G228" s="10" t="str">
        <f t="shared" si="16"/>
        <v/>
      </c>
      <c r="H228" s="12" t="str">
        <f t="shared" si="17"/>
        <v/>
      </c>
      <c r="I228" s="12" t="str">
        <f t="shared" si="18"/>
        <v/>
      </c>
      <c r="J228" s="12" t="str">
        <f t="shared" si="19"/>
        <v/>
      </c>
    </row>
    <row r="229" spans="6:10" x14ac:dyDescent="0.25">
      <c r="F229" s="9" t="str">
        <f t="shared" si="15"/>
        <v/>
      </c>
      <c r="G229" s="10" t="str">
        <f t="shared" si="16"/>
        <v/>
      </c>
      <c r="H229" s="12" t="str">
        <f t="shared" si="17"/>
        <v/>
      </c>
      <c r="I229" s="12" t="str">
        <f t="shared" si="18"/>
        <v/>
      </c>
      <c r="J229" s="12" t="str">
        <f t="shared" si="19"/>
        <v/>
      </c>
    </row>
    <row r="230" spans="6:10" x14ac:dyDescent="0.25">
      <c r="F230" s="9" t="str">
        <f t="shared" si="15"/>
        <v/>
      </c>
      <c r="G230" s="10" t="str">
        <f t="shared" si="16"/>
        <v/>
      </c>
      <c r="H230" s="12" t="str">
        <f t="shared" si="17"/>
        <v/>
      </c>
      <c r="I230" s="12" t="str">
        <f t="shared" si="18"/>
        <v/>
      </c>
      <c r="J230" s="12" t="str">
        <f t="shared" si="19"/>
        <v/>
      </c>
    </row>
    <row r="231" spans="6:10" x14ac:dyDescent="0.25">
      <c r="F231" s="9" t="str">
        <f t="shared" si="15"/>
        <v/>
      </c>
      <c r="G231" s="10" t="str">
        <f t="shared" si="16"/>
        <v/>
      </c>
      <c r="H231" s="12" t="str">
        <f t="shared" si="17"/>
        <v/>
      </c>
      <c r="I231" s="12" t="str">
        <f t="shared" si="18"/>
        <v/>
      </c>
      <c r="J231" s="12" t="str">
        <f t="shared" si="19"/>
        <v/>
      </c>
    </row>
    <row r="232" spans="6:10" x14ac:dyDescent="0.25">
      <c r="F232" s="9" t="str">
        <f t="shared" si="15"/>
        <v/>
      </c>
      <c r="G232" s="10" t="str">
        <f t="shared" si="16"/>
        <v/>
      </c>
      <c r="H232" s="12" t="str">
        <f t="shared" si="17"/>
        <v/>
      </c>
      <c r="I232" s="12" t="str">
        <f t="shared" si="18"/>
        <v/>
      </c>
      <c r="J232" s="12" t="str">
        <f t="shared" si="19"/>
        <v/>
      </c>
    </row>
    <row r="233" spans="6:10" x14ac:dyDescent="0.25">
      <c r="F233" s="9" t="str">
        <f t="shared" si="15"/>
        <v/>
      </c>
      <c r="G233" s="10" t="str">
        <f t="shared" si="16"/>
        <v/>
      </c>
      <c r="H233" s="12" t="str">
        <f t="shared" si="17"/>
        <v/>
      </c>
      <c r="I233" s="12" t="str">
        <f t="shared" si="18"/>
        <v/>
      </c>
      <c r="J233" s="12" t="str">
        <f t="shared" si="19"/>
        <v/>
      </c>
    </row>
    <row r="234" spans="6:10" x14ac:dyDescent="0.25">
      <c r="F234" s="9" t="str">
        <f t="shared" si="15"/>
        <v/>
      </c>
      <c r="G234" s="10" t="str">
        <f t="shared" si="16"/>
        <v/>
      </c>
      <c r="H234" s="12" t="str">
        <f t="shared" si="17"/>
        <v/>
      </c>
      <c r="I234" s="12" t="str">
        <f t="shared" si="18"/>
        <v/>
      </c>
      <c r="J234" s="12" t="str">
        <f t="shared" si="19"/>
        <v/>
      </c>
    </row>
    <row r="235" spans="6:10" x14ac:dyDescent="0.25">
      <c r="F235" s="9" t="str">
        <f t="shared" si="15"/>
        <v/>
      </c>
      <c r="G235" s="10" t="str">
        <f t="shared" si="16"/>
        <v/>
      </c>
      <c r="H235" s="12" t="str">
        <f t="shared" si="17"/>
        <v/>
      </c>
      <c r="I235" s="12" t="str">
        <f t="shared" si="18"/>
        <v/>
      </c>
      <c r="J235" s="12" t="str">
        <f t="shared" si="19"/>
        <v/>
      </c>
    </row>
    <row r="236" spans="6:10" x14ac:dyDescent="0.25">
      <c r="F236" s="9" t="str">
        <f t="shared" si="15"/>
        <v/>
      </c>
      <c r="G236" s="10" t="str">
        <f t="shared" si="16"/>
        <v/>
      </c>
      <c r="H236" s="12" t="str">
        <f t="shared" si="17"/>
        <v/>
      </c>
      <c r="I236" s="12" t="str">
        <f t="shared" si="18"/>
        <v/>
      </c>
      <c r="J236" s="12" t="str">
        <f t="shared" si="19"/>
        <v/>
      </c>
    </row>
    <row r="237" spans="6:10" x14ac:dyDescent="0.25">
      <c r="F237" s="9" t="str">
        <f t="shared" si="15"/>
        <v/>
      </c>
      <c r="G237" s="10" t="str">
        <f t="shared" si="16"/>
        <v/>
      </c>
      <c r="H237" s="12" t="str">
        <f t="shared" si="17"/>
        <v/>
      </c>
      <c r="I237" s="12" t="str">
        <f t="shared" si="18"/>
        <v/>
      </c>
      <c r="J237" s="12" t="str">
        <f t="shared" si="19"/>
        <v/>
      </c>
    </row>
    <row r="238" spans="6:10" x14ac:dyDescent="0.25">
      <c r="F238" s="9" t="str">
        <f t="shared" si="15"/>
        <v/>
      </c>
      <c r="G238" s="10" t="str">
        <f t="shared" si="16"/>
        <v/>
      </c>
      <c r="H238" s="12" t="str">
        <f t="shared" si="17"/>
        <v/>
      </c>
      <c r="I238" s="12" t="str">
        <f t="shared" si="18"/>
        <v/>
      </c>
      <c r="J238" s="12" t="str">
        <f t="shared" si="19"/>
        <v/>
      </c>
    </row>
    <row r="239" spans="6:10" x14ac:dyDescent="0.25">
      <c r="F239" s="9" t="str">
        <f t="shared" si="15"/>
        <v/>
      </c>
      <c r="G239" s="10" t="str">
        <f t="shared" si="16"/>
        <v/>
      </c>
      <c r="H239" s="12" t="str">
        <f t="shared" si="17"/>
        <v/>
      </c>
      <c r="I239" s="12" t="str">
        <f t="shared" si="18"/>
        <v/>
      </c>
      <c r="J239" s="12" t="str">
        <f t="shared" si="19"/>
        <v/>
      </c>
    </row>
    <row r="240" spans="6:10" x14ac:dyDescent="0.25">
      <c r="F240" s="9" t="str">
        <f t="shared" si="15"/>
        <v/>
      </c>
      <c r="G240" s="10" t="str">
        <f t="shared" si="16"/>
        <v/>
      </c>
      <c r="H240" s="12" t="str">
        <f t="shared" si="17"/>
        <v/>
      </c>
      <c r="I240" s="12" t="str">
        <f t="shared" si="18"/>
        <v/>
      </c>
      <c r="J240" s="12" t="str">
        <f t="shared" si="19"/>
        <v/>
      </c>
    </row>
    <row r="241" spans="6:10" x14ac:dyDescent="0.25">
      <c r="F241" s="9" t="str">
        <f t="shared" si="15"/>
        <v/>
      </c>
      <c r="G241" s="10" t="str">
        <f t="shared" si="16"/>
        <v/>
      </c>
      <c r="H241" s="12" t="str">
        <f t="shared" si="17"/>
        <v/>
      </c>
      <c r="I241" s="12" t="str">
        <f t="shared" si="18"/>
        <v/>
      </c>
      <c r="J241" s="12" t="str">
        <f t="shared" si="19"/>
        <v/>
      </c>
    </row>
    <row r="242" spans="6:10" x14ac:dyDescent="0.25">
      <c r="F242" s="9" t="str">
        <f t="shared" si="15"/>
        <v/>
      </c>
      <c r="G242" s="10" t="str">
        <f t="shared" si="16"/>
        <v/>
      </c>
      <c r="H242" s="12" t="str">
        <f t="shared" si="17"/>
        <v/>
      </c>
      <c r="I242" s="12" t="str">
        <f t="shared" si="18"/>
        <v/>
      </c>
      <c r="J242" s="12" t="str">
        <f t="shared" si="19"/>
        <v/>
      </c>
    </row>
    <row r="243" spans="6:10" x14ac:dyDescent="0.25">
      <c r="F243" s="9" t="str">
        <f t="shared" si="15"/>
        <v/>
      </c>
      <c r="G243" s="10" t="str">
        <f t="shared" si="16"/>
        <v/>
      </c>
      <c r="H243" s="12" t="str">
        <f t="shared" si="17"/>
        <v/>
      </c>
      <c r="I243" s="12" t="str">
        <f t="shared" si="18"/>
        <v/>
      </c>
      <c r="J243" s="12" t="str">
        <f t="shared" si="19"/>
        <v/>
      </c>
    </row>
    <row r="244" spans="6:10" x14ac:dyDescent="0.25">
      <c r="F244" s="9" t="str">
        <f t="shared" si="15"/>
        <v/>
      </c>
      <c r="G244" s="10" t="str">
        <f t="shared" si="16"/>
        <v/>
      </c>
      <c r="H244" s="12" t="str">
        <f t="shared" si="17"/>
        <v/>
      </c>
      <c r="I244" s="12" t="str">
        <f t="shared" si="18"/>
        <v/>
      </c>
      <c r="J244" s="12" t="str">
        <f t="shared" si="19"/>
        <v/>
      </c>
    </row>
    <row r="245" spans="6:10" x14ac:dyDescent="0.25">
      <c r="F245" s="9" t="str">
        <f t="shared" si="15"/>
        <v/>
      </c>
      <c r="G245" s="10" t="str">
        <f t="shared" si="16"/>
        <v/>
      </c>
      <c r="H245" s="12" t="str">
        <f t="shared" si="17"/>
        <v/>
      </c>
      <c r="I245" s="12" t="str">
        <f t="shared" si="18"/>
        <v/>
      </c>
      <c r="J245" s="12" t="str">
        <f t="shared" si="19"/>
        <v/>
      </c>
    </row>
    <row r="246" spans="6:10" x14ac:dyDescent="0.25">
      <c r="F246" s="9" t="str">
        <f t="shared" si="15"/>
        <v/>
      </c>
      <c r="G246" s="10" t="str">
        <f t="shared" si="16"/>
        <v/>
      </c>
      <c r="H246" s="12" t="str">
        <f t="shared" si="17"/>
        <v/>
      </c>
      <c r="I246" s="12" t="str">
        <f t="shared" si="18"/>
        <v/>
      </c>
      <c r="J246" s="12" t="str">
        <f t="shared" si="19"/>
        <v/>
      </c>
    </row>
    <row r="247" spans="6:10" x14ac:dyDescent="0.25">
      <c r="F247" s="9" t="str">
        <f t="shared" si="15"/>
        <v/>
      </c>
      <c r="G247" s="10" t="str">
        <f t="shared" si="16"/>
        <v/>
      </c>
      <c r="H247" s="12" t="str">
        <f t="shared" si="17"/>
        <v/>
      </c>
      <c r="I247" s="12" t="str">
        <f t="shared" si="18"/>
        <v/>
      </c>
      <c r="J247" s="12" t="str">
        <f t="shared" si="19"/>
        <v/>
      </c>
    </row>
    <row r="248" spans="6:10" x14ac:dyDescent="0.25">
      <c r="F248" s="9" t="str">
        <f t="shared" si="15"/>
        <v/>
      </c>
      <c r="G248" s="10" t="str">
        <f t="shared" si="16"/>
        <v/>
      </c>
      <c r="H248" s="12" t="str">
        <f t="shared" si="17"/>
        <v/>
      </c>
      <c r="I248" s="12" t="str">
        <f t="shared" si="18"/>
        <v/>
      </c>
      <c r="J248" s="12" t="str">
        <f t="shared" si="19"/>
        <v/>
      </c>
    </row>
    <row r="249" spans="6:10" x14ac:dyDescent="0.25">
      <c r="F249" s="9" t="str">
        <f t="shared" si="15"/>
        <v/>
      </c>
      <c r="G249" s="10" t="str">
        <f t="shared" si="16"/>
        <v/>
      </c>
      <c r="H249" s="12" t="str">
        <f t="shared" si="17"/>
        <v/>
      </c>
      <c r="I249" s="12" t="str">
        <f t="shared" si="18"/>
        <v/>
      </c>
      <c r="J249" s="12" t="str">
        <f t="shared" si="19"/>
        <v/>
      </c>
    </row>
    <row r="250" spans="6:10" x14ac:dyDescent="0.25">
      <c r="F250" s="9" t="str">
        <f t="shared" si="15"/>
        <v/>
      </c>
      <c r="G250" s="10" t="str">
        <f t="shared" si="16"/>
        <v/>
      </c>
      <c r="H250" s="12" t="str">
        <f t="shared" si="17"/>
        <v/>
      </c>
      <c r="I250" s="12" t="str">
        <f t="shared" si="18"/>
        <v/>
      </c>
      <c r="J250" s="12" t="str">
        <f t="shared" si="19"/>
        <v/>
      </c>
    </row>
    <row r="251" spans="6:10" x14ac:dyDescent="0.25">
      <c r="F251" s="9" t="str">
        <f t="shared" si="15"/>
        <v/>
      </c>
      <c r="G251" s="10" t="str">
        <f t="shared" si="16"/>
        <v/>
      </c>
      <c r="H251" s="12" t="str">
        <f t="shared" si="17"/>
        <v/>
      </c>
      <c r="I251" s="12" t="str">
        <f t="shared" si="18"/>
        <v/>
      </c>
      <c r="J251" s="12" t="str">
        <f t="shared" si="19"/>
        <v/>
      </c>
    </row>
    <row r="252" spans="6:10" x14ac:dyDescent="0.25">
      <c r="F252" s="9" t="str">
        <f t="shared" si="15"/>
        <v/>
      </c>
      <c r="G252" s="10" t="str">
        <f t="shared" si="16"/>
        <v/>
      </c>
      <c r="H252" s="12" t="str">
        <f t="shared" si="17"/>
        <v/>
      </c>
      <c r="I252" s="12" t="str">
        <f t="shared" si="18"/>
        <v/>
      </c>
      <c r="J252" s="12" t="str">
        <f t="shared" si="19"/>
        <v/>
      </c>
    </row>
    <row r="253" spans="6:10" x14ac:dyDescent="0.25">
      <c r="F253" s="9" t="str">
        <f t="shared" si="15"/>
        <v/>
      </c>
      <c r="G253" s="10" t="str">
        <f t="shared" si="16"/>
        <v/>
      </c>
      <c r="H253" s="12" t="str">
        <f t="shared" si="17"/>
        <v/>
      </c>
      <c r="I253" s="12" t="str">
        <f t="shared" si="18"/>
        <v/>
      </c>
      <c r="J253" s="12" t="str">
        <f t="shared" si="19"/>
        <v/>
      </c>
    </row>
    <row r="254" spans="6:10" x14ac:dyDescent="0.25">
      <c r="F254" s="9" t="str">
        <f t="shared" si="15"/>
        <v/>
      </c>
      <c r="G254" s="10" t="str">
        <f t="shared" si="16"/>
        <v/>
      </c>
      <c r="H254" s="12" t="str">
        <f t="shared" si="17"/>
        <v/>
      </c>
      <c r="I254" s="12" t="str">
        <f t="shared" si="18"/>
        <v/>
      </c>
      <c r="J254" s="12" t="str">
        <f t="shared" si="19"/>
        <v/>
      </c>
    </row>
    <row r="255" spans="6:10" x14ac:dyDescent="0.25">
      <c r="F255" s="9" t="str">
        <f t="shared" si="15"/>
        <v/>
      </c>
      <c r="G255" s="10" t="str">
        <f t="shared" si="16"/>
        <v/>
      </c>
      <c r="H255" s="12" t="str">
        <f t="shared" si="17"/>
        <v/>
      </c>
      <c r="I255" s="12" t="str">
        <f t="shared" si="18"/>
        <v/>
      </c>
      <c r="J255" s="12" t="str">
        <f t="shared" si="19"/>
        <v/>
      </c>
    </row>
    <row r="256" spans="6:10" x14ac:dyDescent="0.25">
      <c r="F256" s="9" t="str">
        <f t="shared" si="15"/>
        <v/>
      </c>
      <c r="G256" s="10" t="str">
        <f t="shared" si="16"/>
        <v/>
      </c>
      <c r="H256" s="12" t="str">
        <f t="shared" si="17"/>
        <v/>
      </c>
      <c r="I256" s="12" t="str">
        <f t="shared" si="18"/>
        <v/>
      </c>
      <c r="J256" s="12" t="str">
        <f t="shared" si="19"/>
        <v/>
      </c>
    </row>
    <row r="257" spans="6:10" x14ac:dyDescent="0.25">
      <c r="F257" s="9" t="str">
        <f t="shared" si="15"/>
        <v/>
      </c>
      <c r="G257" s="10" t="str">
        <f t="shared" si="16"/>
        <v/>
      </c>
      <c r="H257" s="12" t="str">
        <f t="shared" si="17"/>
        <v/>
      </c>
      <c r="I257" s="12" t="str">
        <f t="shared" si="18"/>
        <v/>
      </c>
      <c r="J257" s="12" t="str">
        <f t="shared" si="19"/>
        <v/>
      </c>
    </row>
    <row r="258" spans="6:10" x14ac:dyDescent="0.25">
      <c r="F258" s="9" t="str">
        <f t="shared" si="15"/>
        <v/>
      </c>
      <c r="G258" s="10" t="str">
        <f t="shared" si="16"/>
        <v/>
      </c>
      <c r="H258" s="12" t="str">
        <f t="shared" si="17"/>
        <v/>
      </c>
      <c r="I258" s="12" t="str">
        <f t="shared" si="18"/>
        <v/>
      </c>
      <c r="J258" s="12" t="str">
        <f t="shared" si="19"/>
        <v/>
      </c>
    </row>
    <row r="259" spans="6:10" x14ac:dyDescent="0.25">
      <c r="F259" s="9" t="str">
        <f t="shared" si="15"/>
        <v/>
      </c>
      <c r="G259" s="10" t="str">
        <f t="shared" si="16"/>
        <v/>
      </c>
      <c r="H259" s="12" t="str">
        <f t="shared" si="17"/>
        <v/>
      </c>
      <c r="I259" s="12" t="str">
        <f t="shared" si="18"/>
        <v/>
      </c>
      <c r="J259" s="12" t="str">
        <f t="shared" si="19"/>
        <v/>
      </c>
    </row>
    <row r="260" spans="6:10" x14ac:dyDescent="0.25">
      <c r="F260" s="9" t="str">
        <f t="shared" si="15"/>
        <v/>
      </c>
      <c r="G260" s="10" t="str">
        <f t="shared" si="16"/>
        <v/>
      </c>
      <c r="H260" s="12" t="str">
        <f t="shared" si="17"/>
        <v/>
      </c>
      <c r="I260" s="12" t="str">
        <f t="shared" si="18"/>
        <v/>
      </c>
      <c r="J260" s="12" t="str">
        <f t="shared" si="19"/>
        <v/>
      </c>
    </row>
    <row r="261" spans="6:10" x14ac:dyDescent="0.25">
      <c r="F261" s="9" t="str">
        <f t="shared" ref="F261:F320" si="20">IF(F260&lt;$C$4, F260+1,"")</f>
        <v/>
      </c>
      <c r="G261" s="10" t="str">
        <f t="shared" ref="G261:G318" si="21">IF(F260&lt;$C$4,$C$7*(1+$C$5)^(F261-1),"")</f>
        <v/>
      </c>
      <c r="H261" s="12" t="str">
        <f t="shared" ref="H261:H318" si="22">IF(F260&lt;$C$4, J260*$C$3,"")</f>
        <v/>
      </c>
      <c r="I261" s="12" t="str">
        <f t="shared" ref="I261:I318" si="23">IF(F260&lt;$C$4,G261-H261,"")</f>
        <v/>
      </c>
      <c r="J261" s="12" t="str">
        <f t="shared" ref="J261:J318" si="24">IF(F260&lt;$C$4, J260-I261,"")</f>
        <v/>
      </c>
    </row>
    <row r="262" spans="6:10" x14ac:dyDescent="0.25">
      <c r="F262" s="9" t="str">
        <f t="shared" si="20"/>
        <v/>
      </c>
      <c r="G262" s="10" t="str">
        <f t="shared" si="21"/>
        <v/>
      </c>
      <c r="H262" s="12" t="str">
        <f t="shared" si="22"/>
        <v/>
      </c>
      <c r="I262" s="12" t="str">
        <f t="shared" si="23"/>
        <v/>
      </c>
      <c r="J262" s="12" t="str">
        <f t="shared" si="24"/>
        <v/>
      </c>
    </row>
    <row r="263" spans="6:10" x14ac:dyDescent="0.25">
      <c r="F263" s="9" t="str">
        <f t="shared" si="20"/>
        <v/>
      </c>
      <c r="G263" s="10" t="str">
        <f t="shared" si="21"/>
        <v/>
      </c>
      <c r="H263" s="12" t="str">
        <f t="shared" si="22"/>
        <v/>
      </c>
      <c r="I263" s="12" t="str">
        <f t="shared" si="23"/>
        <v/>
      </c>
      <c r="J263" s="12" t="str">
        <f t="shared" si="24"/>
        <v/>
      </c>
    </row>
    <row r="264" spans="6:10" x14ac:dyDescent="0.25">
      <c r="F264" s="9" t="str">
        <f t="shared" si="20"/>
        <v/>
      </c>
      <c r="G264" s="10" t="str">
        <f t="shared" si="21"/>
        <v/>
      </c>
      <c r="H264" s="12" t="str">
        <f t="shared" si="22"/>
        <v/>
      </c>
      <c r="I264" s="12" t="str">
        <f t="shared" si="23"/>
        <v/>
      </c>
      <c r="J264" s="12" t="str">
        <f t="shared" si="24"/>
        <v/>
      </c>
    </row>
    <row r="265" spans="6:10" x14ac:dyDescent="0.25">
      <c r="F265" s="9" t="str">
        <f t="shared" si="20"/>
        <v/>
      </c>
      <c r="G265" s="10" t="str">
        <f t="shared" si="21"/>
        <v/>
      </c>
      <c r="H265" s="12" t="str">
        <f t="shared" si="22"/>
        <v/>
      </c>
      <c r="I265" s="12" t="str">
        <f t="shared" si="23"/>
        <v/>
      </c>
      <c r="J265" s="12" t="str">
        <f t="shared" si="24"/>
        <v/>
      </c>
    </row>
    <row r="266" spans="6:10" x14ac:dyDescent="0.25">
      <c r="F266" s="9" t="str">
        <f t="shared" si="20"/>
        <v/>
      </c>
      <c r="G266" s="10" t="str">
        <f t="shared" si="21"/>
        <v/>
      </c>
      <c r="H266" s="12" t="str">
        <f t="shared" si="22"/>
        <v/>
      </c>
      <c r="I266" s="12" t="str">
        <f t="shared" si="23"/>
        <v/>
      </c>
      <c r="J266" s="12" t="str">
        <f t="shared" si="24"/>
        <v/>
      </c>
    </row>
    <row r="267" spans="6:10" x14ac:dyDescent="0.25">
      <c r="F267" s="9" t="str">
        <f t="shared" si="20"/>
        <v/>
      </c>
      <c r="G267" s="10" t="str">
        <f t="shared" si="21"/>
        <v/>
      </c>
      <c r="H267" s="12" t="str">
        <f t="shared" si="22"/>
        <v/>
      </c>
      <c r="I267" s="12" t="str">
        <f t="shared" si="23"/>
        <v/>
      </c>
      <c r="J267" s="12" t="str">
        <f t="shared" si="24"/>
        <v/>
      </c>
    </row>
    <row r="268" spans="6:10" x14ac:dyDescent="0.25">
      <c r="F268" s="9" t="str">
        <f t="shared" si="20"/>
        <v/>
      </c>
      <c r="G268" s="10" t="str">
        <f t="shared" si="21"/>
        <v/>
      </c>
      <c r="H268" s="12" t="str">
        <f t="shared" si="22"/>
        <v/>
      </c>
      <c r="I268" s="12" t="str">
        <f t="shared" si="23"/>
        <v/>
      </c>
      <c r="J268" s="12" t="str">
        <f t="shared" si="24"/>
        <v/>
      </c>
    </row>
    <row r="269" spans="6:10" x14ac:dyDescent="0.25">
      <c r="F269" s="9" t="str">
        <f t="shared" si="20"/>
        <v/>
      </c>
      <c r="G269" s="10" t="str">
        <f t="shared" si="21"/>
        <v/>
      </c>
      <c r="H269" s="12" t="str">
        <f t="shared" si="22"/>
        <v/>
      </c>
      <c r="I269" s="12" t="str">
        <f t="shared" si="23"/>
        <v/>
      </c>
      <c r="J269" s="12" t="str">
        <f t="shared" si="24"/>
        <v/>
      </c>
    </row>
    <row r="270" spans="6:10" x14ac:dyDescent="0.25">
      <c r="F270" s="9" t="str">
        <f t="shared" si="20"/>
        <v/>
      </c>
      <c r="G270" s="10" t="str">
        <f t="shared" si="21"/>
        <v/>
      </c>
      <c r="H270" s="12" t="str">
        <f t="shared" si="22"/>
        <v/>
      </c>
      <c r="I270" s="12" t="str">
        <f t="shared" si="23"/>
        <v/>
      </c>
      <c r="J270" s="12" t="str">
        <f t="shared" si="24"/>
        <v/>
      </c>
    </row>
    <row r="271" spans="6:10" x14ac:dyDescent="0.25">
      <c r="F271" s="9" t="str">
        <f t="shared" si="20"/>
        <v/>
      </c>
      <c r="G271" s="10" t="str">
        <f t="shared" si="21"/>
        <v/>
      </c>
      <c r="H271" s="12" t="str">
        <f t="shared" si="22"/>
        <v/>
      </c>
      <c r="I271" s="12" t="str">
        <f t="shared" si="23"/>
        <v/>
      </c>
      <c r="J271" s="12" t="str">
        <f t="shared" si="24"/>
        <v/>
      </c>
    </row>
    <row r="272" spans="6:10" x14ac:dyDescent="0.25">
      <c r="F272" s="9" t="str">
        <f t="shared" si="20"/>
        <v/>
      </c>
      <c r="G272" s="10" t="str">
        <f t="shared" si="21"/>
        <v/>
      </c>
      <c r="H272" s="12" t="str">
        <f t="shared" si="22"/>
        <v/>
      </c>
      <c r="I272" s="12" t="str">
        <f t="shared" si="23"/>
        <v/>
      </c>
      <c r="J272" s="12" t="str">
        <f t="shared" si="24"/>
        <v/>
      </c>
    </row>
    <row r="273" spans="6:10" x14ac:dyDescent="0.25">
      <c r="F273" s="9" t="str">
        <f t="shared" si="20"/>
        <v/>
      </c>
      <c r="G273" s="10" t="str">
        <f t="shared" si="21"/>
        <v/>
      </c>
      <c r="H273" s="12" t="str">
        <f t="shared" si="22"/>
        <v/>
      </c>
      <c r="I273" s="12" t="str">
        <f t="shared" si="23"/>
        <v/>
      </c>
      <c r="J273" s="12" t="str">
        <f t="shared" si="24"/>
        <v/>
      </c>
    </row>
    <row r="274" spans="6:10" x14ac:dyDescent="0.25">
      <c r="F274" s="9" t="str">
        <f t="shared" si="20"/>
        <v/>
      </c>
      <c r="G274" s="10" t="str">
        <f t="shared" si="21"/>
        <v/>
      </c>
      <c r="H274" s="12" t="str">
        <f t="shared" si="22"/>
        <v/>
      </c>
      <c r="I274" s="12" t="str">
        <f t="shared" si="23"/>
        <v/>
      </c>
      <c r="J274" s="12" t="str">
        <f t="shared" si="24"/>
        <v/>
      </c>
    </row>
    <row r="275" spans="6:10" x14ac:dyDescent="0.25">
      <c r="F275" s="9" t="str">
        <f t="shared" si="20"/>
        <v/>
      </c>
      <c r="G275" s="10" t="str">
        <f t="shared" si="21"/>
        <v/>
      </c>
      <c r="H275" s="12" t="str">
        <f t="shared" si="22"/>
        <v/>
      </c>
      <c r="I275" s="12" t="str">
        <f t="shared" si="23"/>
        <v/>
      </c>
      <c r="J275" s="12" t="str">
        <f t="shared" si="24"/>
        <v/>
      </c>
    </row>
    <row r="276" spans="6:10" x14ac:dyDescent="0.25">
      <c r="F276" s="9" t="str">
        <f t="shared" si="20"/>
        <v/>
      </c>
      <c r="G276" s="10" t="str">
        <f t="shared" si="21"/>
        <v/>
      </c>
      <c r="H276" s="12" t="str">
        <f t="shared" si="22"/>
        <v/>
      </c>
      <c r="I276" s="12" t="str">
        <f t="shared" si="23"/>
        <v/>
      </c>
      <c r="J276" s="12" t="str">
        <f t="shared" si="24"/>
        <v/>
      </c>
    </row>
    <row r="277" spans="6:10" x14ac:dyDescent="0.25">
      <c r="F277" s="9" t="str">
        <f t="shared" si="20"/>
        <v/>
      </c>
      <c r="G277" s="10" t="str">
        <f t="shared" si="21"/>
        <v/>
      </c>
      <c r="H277" s="12" t="str">
        <f t="shared" si="22"/>
        <v/>
      </c>
      <c r="I277" s="12" t="str">
        <f t="shared" si="23"/>
        <v/>
      </c>
      <c r="J277" s="12" t="str">
        <f t="shared" si="24"/>
        <v/>
      </c>
    </row>
    <row r="278" spans="6:10" x14ac:dyDescent="0.25">
      <c r="F278" s="9" t="str">
        <f t="shared" si="20"/>
        <v/>
      </c>
      <c r="G278" s="10" t="str">
        <f t="shared" si="21"/>
        <v/>
      </c>
      <c r="H278" s="12" t="str">
        <f t="shared" si="22"/>
        <v/>
      </c>
      <c r="I278" s="12" t="str">
        <f t="shared" si="23"/>
        <v/>
      </c>
      <c r="J278" s="12" t="str">
        <f t="shared" si="24"/>
        <v/>
      </c>
    </row>
    <row r="279" spans="6:10" x14ac:dyDescent="0.25">
      <c r="F279" s="9" t="str">
        <f t="shared" si="20"/>
        <v/>
      </c>
      <c r="G279" s="10" t="str">
        <f t="shared" si="21"/>
        <v/>
      </c>
      <c r="H279" s="12" t="str">
        <f t="shared" si="22"/>
        <v/>
      </c>
      <c r="I279" s="12" t="str">
        <f t="shared" si="23"/>
        <v/>
      </c>
      <c r="J279" s="12" t="str">
        <f t="shared" si="24"/>
        <v/>
      </c>
    </row>
    <row r="280" spans="6:10" x14ac:dyDescent="0.25">
      <c r="F280" s="9" t="str">
        <f t="shared" si="20"/>
        <v/>
      </c>
      <c r="G280" s="10" t="str">
        <f t="shared" si="21"/>
        <v/>
      </c>
      <c r="H280" s="12" t="str">
        <f t="shared" si="22"/>
        <v/>
      </c>
      <c r="I280" s="12" t="str">
        <f t="shared" si="23"/>
        <v/>
      </c>
      <c r="J280" s="12" t="str">
        <f t="shared" si="24"/>
        <v/>
      </c>
    </row>
    <row r="281" spans="6:10" x14ac:dyDescent="0.25">
      <c r="F281" s="9" t="str">
        <f t="shared" si="20"/>
        <v/>
      </c>
      <c r="G281" s="10" t="str">
        <f t="shared" si="21"/>
        <v/>
      </c>
      <c r="H281" s="12" t="str">
        <f t="shared" si="22"/>
        <v/>
      </c>
      <c r="I281" s="12" t="str">
        <f t="shared" si="23"/>
        <v/>
      </c>
      <c r="J281" s="12" t="str">
        <f t="shared" si="24"/>
        <v/>
      </c>
    </row>
    <row r="282" spans="6:10" x14ac:dyDescent="0.25">
      <c r="F282" s="9" t="str">
        <f t="shared" si="20"/>
        <v/>
      </c>
      <c r="G282" s="10" t="str">
        <f t="shared" si="21"/>
        <v/>
      </c>
      <c r="H282" s="12" t="str">
        <f t="shared" si="22"/>
        <v/>
      </c>
      <c r="I282" s="12" t="str">
        <f t="shared" si="23"/>
        <v/>
      </c>
      <c r="J282" s="12" t="str">
        <f t="shared" si="24"/>
        <v/>
      </c>
    </row>
    <row r="283" spans="6:10" x14ac:dyDescent="0.25">
      <c r="F283" s="9" t="str">
        <f t="shared" si="20"/>
        <v/>
      </c>
      <c r="G283" s="10" t="str">
        <f t="shared" si="21"/>
        <v/>
      </c>
      <c r="H283" s="12" t="str">
        <f t="shared" si="22"/>
        <v/>
      </c>
      <c r="I283" s="12" t="str">
        <f t="shared" si="23"/>
        <v/>
      </c>
      <c r="J283" s="12" t="str">
        <f t="shared" si="24"/>
        <v/>
      </c>
    </row>
    <row r="284" spans="6:10" x14ac:dyDescent="0.25">
      <c r="F284" s="9" t="str">
        <f t="shared" si="20"/>
        <v/>
      </c>
      <c r="G284" s="10" t="str">
        <f t="shared" si="21"/>
        <v/>
      </c>
      <c r="H284" s="12" t="str">
        <f t="shared" si="22"/>
        <v/>
      </c>
      <c r="I284" s="12" t="str">
        <f t="shared" si="23"/>
        <v/>
      </c>
      <c r="J284" s="12" t="str">
        <f t="shared" si="24"/>
        <v/>
      </c>
    </row>
    <row r="285" spans="6:10" x14ac:dyDescent="0.25">
      <c r="F285" s="9" t="str">
        <f t="shared" si="20"/>
        <v/>
      </c>
      <c r="G285" s="10" t="str">
        <f t="shared" si="21"/>
        <v/>
      </c>
      <c r="H285" s="12" t="str">
        <f t="shared" si="22"/>
        <v/>
      </c>
      <c r="I285" s="12" t="str">
        <f t="shared" si="23"/>
        <v/>
      </c>
      <c r="J285" s="12" t="str">
        <f t="shared" si="24"/>
        <v/>
      </c>
    </row>
    <row r="286" spans="6:10" x14ac:dyDescent="0.25">
      <c r="F286" s="9" t="str">
        <f t="shared" si="20"/>
        <v/>
      </c>
      <c r="G286" s="10" t="str">
        <f t="shared" si="21"/>
        <v/>
      </c>
      <c r="H286" s="12" t="str">
        <f t="shared" si="22"/>
        <v/>
      </c>
      <c r="I286" s="12" t="str">
        <f t="shared" si="23"/>
        <v/>
      </c>
      <c r="J286" s="12" t="str">
        <f t="shared" si="24"/>
        <v/>
      </c>
    </row>
    <row r="287" spans="6:10" x14ac:dyDescent="0.25">
      <c r="F287" s="9" t="str">
        <f t="shared" si="20"/>
        <v/>
      </c>
      <c r="G287" s="10" t="str">
        <f t="shared" si="21"/>
        <v/>
      </c>
      <c r="H287" s="12" t="str">
        <f t="shared" si="22"/>
        <v/>
      </c>
      <c r="I287" s="12" t="str">
        <f t="shared" si="23"/>
        <v/>
      </c>
      <c r="J287" s="12" t="str">
        <f t="shared" si="24"/>
        <v/>
      </c>
    </row>
    <row r="288" spans="6:10" x14ac:dyDescent="0.25">
      <c r="F288" s="9" t="str">
        <f t="shared" si="20"/>
        <v/>
      </c>
      <c r="G288" s="10" t="str">
        <f t="shared" si="21"/>
        <v/>
      </c>
      <c r="H288" s="12" t="str">
        <f t="shared" si="22"/>
        <v/>
      </c>
      <c r="I288" s="12" t="str">
        <f t="shared" si="23"/>
        <v/>
      </c>
      <c r="J288" s="12" t="str">
        <f t="shared" si="24"/>
        <v/>
      </c>
    </row>
    <row r="289" spans="6:10" x14ac:dyDescent="0.25">
      <c r="F289" s="9" t="str">
        <f t="shared" si="20"/>
        <v/>
      </c>
      <c r="G289" s="10" t="str">
        <f t="shared" si="21"/>
        <v/>
      </c>
      <c r="H289" s="12" t="str">
        <f t="shared" si="22"/>
        <v/>
      </c>
      <c r="I289" s="12" t="str">
        <f t="shared" si="23"/>
        <v/>
      </c>
      <c r="J289" s="12" t="str">
        <f t="shared" si="24"/>
        <v/>
      </c>
    </row>
    <row r="290" spans="6:10" x14ac:dyDescent="0.25">
      <c r="F290" s="9" t="str">
        <f t="shared" si="20"/>
        <v/>
      </c>
      <c r="G290" s="10" t="str">
        <f t="shared" si="21"/>
        <v/>
      </c>
      <c r="H290" s="12" t="str">
        <f t="shared" si="22"/>
        <v/>
      </c>
      <c r="I290" s="12" t="str">
        <f t="shared" si="23"/>
        <v/>
      </c>
      <c r="J290" s="12" t="str">
        <f t="shared" si="24"/>
        <v/>
      </c>
    </row>
    <row r="291" spans="6:10" x14ac:dyDescent="0.25">
      <c r="F291" s="9" t="str">
        <f t="shared" si="20"/>
        <v/>
      </c>
      <c r="G291" s="10" t="str">
        <f t="shared" si="21"/>
        <v/>
      </c>
      <c r="H291" s="12" t="str">
        <f t="shared" si="22"/>
        <v/>
      </c>
      <c r="I291" s="12" t="str">
        <f t="shared" si="23"/>
        <v/>
      </c>
      <c r="J291" s="12" t="str">
        <f t="shared" si="24"/>
        <v/>
      </c>
    </row>
    <row r="292" spans="6:10" x14ac:dyDescent="0.25">
      <c r="F292" s="9" t="str">
        <f t="shared" si="20"/>
        <v/>
      </c>
      <c r="G292" s="10" t="str">
        <f t="shared" si="21"/>
        <v/>
      </c>
      <c r="H292" s="12" t="str">
        <f t="shared" si="22"/>
        <v/>
      </c>
      <c r="I292" s="12" t="str">
        <f t="shared" si="23"/>
        <v/>
      </c>
      <c r="J292" s="12" t="str">
        <f t="shared" si="24"/>
        <v/>
      </c>
    </row>
    <row r="293" spans="6:10" x14ac:dyDescent="0.25">
      <c r="F293" s="9" t="str">
        <f t="shared" si="20"/>
        <v/>
      </c>
      <c r="G293" s="10" t="str">
        <f t="shared" si="21"/>
        <v/>
      </c>
      <c r="H293" s="12" t="str">
        <f t="shared" si="22"/>
        <v/>
      </c>
      <c r="I293" s="12" t="str">
        <f t="shared" si="23"/>
        <v/>
      </c>
      <c r="J293" s="12" t="str">
        <f t="shared" si="24"/>
        <v/>
      </c>
    </row>
    <row r="294" spans="6:10" x14ac:dyDescent="0.25">
      <c r="F294" s="9" t="str">
        <f t="shared" si="20"/>
        <v/>
      </c>
      <c r="G294" s="10" t="str">
        <f t="shared" si="21"/>
        <v/>
      </c>
      <c r="H294" s="12" t="str">
        <f t="shared" si="22"/>
        <v/>
      </c>
      <c r="I294" s="12" t="str">
        <f t="shared" si="23"/>
        <v/>
      </c>
      <c r="J294" s="12" t="str">
        <f t="shared" si="24"/>
        <v/>
      </c>
    </row>
    <row r="295" spans="6:10" x14ac:dyDescent="0.25">
      <c r="F295" s="9" t="str">
        <f t="shared" si="20"/>
        <v/>
      </c>
      <c r="G295" s="10" t="str">
        <f t="shared" si="21"/>
        <v/>
      </c>
      <c r="H295" s="12" t="str">
        <f t="shared" si="22"/>
        <v/>
      </c>
      <c r="I295" s="12" t="str">
        <f t="shared" si="23"/>
        <v/>
      </c>
      <c r="J295" s="12" t="str">
        <f t="shared" si="24"/>
        <v/>
      </c>
    </row>
    <row r="296" spans="6:10" x14ac:dyDescent="0.25">
      <c r="F296" s="9" t="str">
        <f t="shared" si="20"/>
        <v/>
      </c>
      <c r="G296" s="10" t="str">
        <f t="shared" si="21"/>
        <v/>
      </c>
      <c r="H296" s="12" t="str">
        <f t="shared" si="22"/>
        <v/>
      </c>
      <c r="I296" s="12" t="str">
        <f t="shared" si="23"/>
        <v/>
      </c>
      <c r="J296" s="12" t="str">
        <f t="shared" si="24"/>
        <v/>
      </c>
    </row>
    <row r="297" spans="6:10" x14ac:dyDescent="0.25">
      <c r="F297" s="9" t="str">
        <f t="shared" si="20"/>
        <v/>
      </c>
      <c r="G297" s="10" t="str">
        <f t="shared" si="21"/>
        <v/>
      </c>
      <c r="H297" s="12" t="str">
        <f t="shared" si="22"/>
        <v/>
      </c>
      <c r="I297" s="12" t="str">
        <f t="shared" si="23"/>
        <v/>
      </c>
      <c r="J297" s="12" t="str">
        <f t="shared" si="24"/>
        <v/>
      </c>
    </row>
    <row r="298" spans="6:10" x14ac:dyDescent="0.25">
      <c r="F298" s="9" t="str">
        <f t="shared" si="20"/>
        <v/>
      </c>
      <c r="G298" s="10" t="str">
        <f t="shared" si="21"/>
        <v/>
      </c>
      <c r="H298" s="12" t="str">
        <f t="shared" si="22"/>
        <v/>
      </c>
      <c r="I298" s="12" t="str">
        <f t="shared" si="23"/>
        <v/>
      </c>
      <c r="J298" s="12" t="str">
        <f t="shared" si="24"/>
        <v/>
      </c>
    </row>
    <row r="299" spans="6:10" x14ac:dyDescent="0.25">
      <c r="F299" s="9" t="str">
        <f t="shared" si="20"/>
        <v/>
      </c>
      <c r="G299" s="10" t="str">
        <f t="shared" si="21"/>
        <v/>
      </c>
      <c r="H299" s="12" t="str">
        <f t="shared" si="22"/>
        <v/>
      </c>
      <c r="I299" s="12" t="str">
        <f t="shared" si="23"/>
        <v/>
      </c>
      <c r="J299" s="12" t="str">
        <f t="shared" si="24"/>
        <v/>
      </c>
    </row>
    <row r="300" spans="6:10" x14ac:dyDescent="0.25">
      <c r="F300" s="9" t="str">
        <f t="shared" si="20"/>
        <v/>
      </c>
      <c r="G300" s="10" t="str">
        <f t="shared" si="21"/>
        <v/>
      </c>
      <c r="H300" s="12" t="str">
        <f t="shared" si="22"/>
        <v/>
      </c>
      <c r="I300" s="12" t="str">
        <f t="shared" si="23"/>
        <v/>
      </c>
      <c r="J300" s="12" t="str">
        <f t="shared" si="24"/>
        <v/>
      </c>
    </row>
    <row r="301" spans="6:10" x14ac:dyDescent="0.25">
      <c r="F301" s="9" t="str">
        <f t="shared" si="20"/>
        <v/>
      </c>
      <c r="G301" s="10" t="str">
        <f t="shared" si="21"/>
        <v/>
      </c>
      <c r="H301" s="12" t="str">
        <f t="shared" si="22"/>
        <v/>
      </c>
      <c r="I301" s="12" t="str">
        <f t="shared" si="23"/>
        <v/>
      </c>
      <c r="J301" s="12" t="str">
        <f t="shared" si="24"/>
        <v/>
      </c>
    </row>
    <row r="302" spans="6:10" x14ac:dyDescent="0.25">
      <c r="F302" s="9" t="str">
        <f t="shared" si="20"/>
        <v/>
      </c>
      <c r="G302" s="10" t="str">
        <f t="shared" si="21"/>
        <v/>
      </c>
      <c r="H302" s="12" t="str">
        <f t="shared" si="22"/>
        <v/>
      </c>
      <c r="I302" s="12" t="str">
        <f t="shared" si="23"/>
        <v/>
      </c>
      <c r="J302" s="12" t="str">
        <f t="shared" si="24"/>
        <v/>
      </c>
    </row>
    <row r="303" spans="6:10" x14ac:dyDescent="0.25">
      <c r="F303" s="9" t="str">
        <f t="shared" si="20"/>
        <v/>
      </c>
      <c r="G303" s="10" t="str">
        <f t="shared" si="21"/>
        <v/>
      </c>
      <c r="H303" s="12" t="str">
        <f t="shared" si="22"/>
        <v/>
      </c>
      <c r="I303" s="12" t="str">
        <f t="shared" si="23"/>
        <v/>
      </c>
      <c r="J303" s="12" t="str">
        <f t="shared" si="24"/>
        <v/>
      </c>
    </row>
    <row r="304" spans="6:10" x14ac:dyDescent="0.25">
      <c r="F304" s="9" t="str">
        <f t="shared" si="20"/>
        <v/>
      </c>
      <c r="G304" s="10" t="str">
        <f t="shared" si="21"/>
        <v/>
      </c>
      <c r="H304" s="12" t="str">
        <f t="shared" si="22"/>
        <v/>
      </c>
      <c r="I304" s="12" t="str">
        <f t="shared" si="23"/>
        <v/>
      </c>
      <c r="J304" s="12" t="str">
        <f t="shared" si="24"/>
        <v/>
      </c>
    </row>
    <row r="305" spans="6:10" x14ac:dyDescent="0.25">
      <c r="F305" s="9" t="str">
        <f t="shared" si="20"/>
        <v/>
      </c>
      <c r="G305" s="10" t="str">
        <f t="shared" si="21"/>
        <v/>
      </c>
      <c r="H305" s="12" t="str">
        <f t="shared" si="22"/>
        <v/>
      </c>
      <c r="I305" s="12" t="str">
        <f t="shared" si="23"/>
        <v/>
      </c>
      <c r="J305" s="12" t="str">
        <f t="shared" si="24"/>
        <v/>
      </c>
    </row>
    <row r="306" spans="6:10" x14ac:dyDescent="0.25">
      <c r="F306" s="9" t="str">
        <f t="shared" si="20"/>
        <v/>
      </c>
      <c r="G306" s="10" t="str">
        <f t="shared" si="21"/>
        <v/>
      </c>
      <c r="H306" s="12" t="str">
        <f t="shared" si="22"/>
        <v/>
      </c>
      <c r="I306" s="12" t="str">
        <f t="shared" si="23"/>
        <v/>
      </c>
      <c r="J306" s="12" t="str">
        <f t="shared" si="24"/>
        <v/>
      </c>
    </row>
    <row r="307" spans="6:10" x14ac:dyDescent="0.25">
      <c r="F307" s="9" t="str">
        <f t="shared" si="20"/>
        <v/>
      </c>
      <c r="G307" s="10" t="str">
        <f t="shared" si="21"/>
        <v/>
      </c>
      <c r="H307" s="12" t="str">
        <f t="shared" si="22"/>
        <v/>
      </c>
      <c r="I307" s="12" t="str">
        <f t="shared" si="23"/>
        <v/>
      </c>
      <c r="J307" s="12" t="str">
        <f t="shared" si="24"/>
        <v/>
      </c>
    </row>
    <row r="308" spans="6:10" x14ac:dyDescent="0.25">
      <c r="F308" s="9" t="str">
        <f t="shared" si="20"/>
        <v/>
      </c>
      <c r="G308" s="10" t="str">
        <f t="shared" si="21"/>
        <v/>
      </c>
      <c r="H308" s="12" t="str">
        <f t="shared" si="22"/>
        <v/>
      </c>
      <c r="I308" s="12" t="str">
        <f t="shared" si="23"/>
        <v/>
      </c>
      <c r="J308" s="12" t="str">
        <f t="shared" si="24"/>
        <v/>
      </c>
    </row>
    <row r="309" spans="6:10" x14ac:dyDescent="0.25">
      <c r="F309" s="9" t="str">
        <f t="shared" si="20"/>
        <v/>
      </c>
      <c r="G309" s="10" t="str">
        <f t="shared" si="21"/>
        <v/>
      </c>
      <c r="H309" s="12" t="str">
        <f t="shared" si="22"/>
        <v/>
      </c>
      <c r="I309" s="12" t="str">
        <f t="shared" si="23"/>
        <v/>
      </c>
      <c r="J309" s="12" t="str">
        <f t="shared" si="24"/>
        <v/>
      </c>
    </row>
    <row r="310" spans="6:10" x14ac:dyDescent="0.25">
      <c r="F310" s="9" t="str">
        <f t="shared" si="20"/>
        <v/>
      </c>
      <c r="G310" s="10" t="str">
        <f t="shared" si="21"/>
        <v/>
      </c>
      <c r="H310" s="12" t="str">
        <f t="shared" si="22"/>
        <v/>
      </c>
      <c r="I310" s="12" t="str">
        <f t="shared" si="23"/>
        <v/>
      </c>
      <c r="J310" s="12" t="str">
        <f t="shared" si="24"/>
        <v/>
      </c>
    </row>
    <row r="311" spans="6:10" x14ac:dyDescent="0.25">
      <c r="F311" s="9" t="str">
        <f t="shared" si="20"/>
        <v/>
      </c>
      <c r="G311" s="10" t="str">
        <f t="shared" si="21"/>
        <v/>
      </c>
      <c r="H311" s="12" t="str">
        <f t="shared" si="22"/>
        <v/>
      </c>
      <c r="I311" s="12" t="str">
        <f t="shared" si="23"/>
        <v/>
      </c>
      <c r="J311" s="12" t="str">
        <f t="shared" si="24"/>
        <v/>
      </c>
    </row>
    <row r="312" spans="6:10" x14ac:dyDescent="0.25">
      <c r="F312" s="9" t="str">
        <f t="shared" si="20"/>
        <v/>
      </c>
      <c r="G312" s="10" t="str">
        <f t="shared" si="21"/>
        <v/>
      </c>
      <c r="H312" s="12" t="str">
        <f t="shared" si="22"/>
        <v/>
      </c>
      <c r="I312" s="12" t="str">
        <f t="shared" si="23"/>
        <v/>
      </c>
      <c r="J312" s="12" t="str">
        <f t="shared" si="24"/>
        <v/>
      </c>
    </row>
    <row r="313" spans="6:10" x14ac:dyDescent="0.25">
      <c r="F313" s="9" t="str">
        <f t="shared" si="20"/>
        <v/>
      </c>
      <c r="G313" s="10" t="str">
        <f t="shared" si="21"/>
        <v/>
      </c>
      <c r="H313" s="12" t="str">
        <f t="shared" si="22"/>
        <v/>
      </c>
      <c r="I313" s="12" t="str">
        <f t="shared" si="23"/>
        <v/>
      </c>
      <c r="J313" s="12" t="str">
        <f t="shared" si="24"/>
        <v/>
      </c>
    </row>
    <row r="314" spans="6:10" x14ac:dyDescent="0.25">
      <c r="F314" s="9" t="str">
        <f t="shared" si="20"/>
        <v/>
      </c>
      <c r="G314" s="10" t="str">
        <f t="shared" si="21"/>
        <v/>
      </c>
      <c r="H314" s="12" t="str">
        <f t="shared" si="22"/>
        <v/>
      </c>
      <c r="I314" s="12" t="str">
        <f t="shared" si="23"/>
        <v/>
      </c>
      <c r="J314" s="12" t="str">
        <f t="shared" si="24"/>
        <v/>
      </c>
    </row>
    <row r="315" spans="6:10" x14ac:dyDescent="0.25">
      <c r="F315" s="9" t="str">
        <f t="shared" si="20"/>
        <v/>
      </c>
      <c r="G315" s="10" t="str">
        <f t="shared" si="21"/>
        <v/>
      </c>
      <c r="H315" s="12" t="str">
        <f t="shared" si="22"/>
        <v/>
      </c>
      <c r="I315" s="12" t="str">
        <f t="shared" si="23"/>
        <v/>
      </c>
      <c r="J315" s="12" t="str">
        <f t="shared" si="24"/>
        <v/>
      </c>
    </row>
    <row r="316" spans="6:10" x14ac:dyDescent="0.25">
      <c r="F316" s="9" t="str">
        <f t="shared" si="20"/>
        <v/>
      </c>
      <c r="G316" s="10" t="str">
        <f t="shared" si="21"/>
        <v/>
      </c>
      <c r="H316" s="12" t="str">
        <f t="shared" si="22"/>
        <v/>
      </c>
      <c r="I316" s="12" t="str">
        <f t="shared" si="23"/>
        <v/>
      </c>
      <c r="J316" s="12" t="str">
        <f t="shared" si="24"/>
        <v/>
      </c>
    </row>
    <row r="317" spans="6:10" x14ac:dyDescent="0.25">
      <c r="F317" s="9" t="str">
        <f t="shared" si="20"/>
        <v/>
      </c>
      <c r="G317" s="10" t="str">
        <f t="shared" si="21"/>
        <v/>
      </c>
      <c r="H317" s="12" t="str">
        <f t="shared" si="22"/>
        <v/>
      </c>
      <c r="I317" s="12" t="str">
        <f t="shared" si="23"/>
        <v/>
      </c>
      <c r="J317" s="12" t="str">
        <f t="shared" si="24"/>
        <v/>
      </c>
    </row>
    <row r="318" spans="6:10" x14ac:dyDescent="0.25">
      <c r="F318" s="9" t="str">
        <f t="shared" si="20"/>
        <v/>
      </c>
      <c r="G318" s="10" t="str">
        <f t="shared" si="21"/>
        <v/>
      </c>
      <c r="H318" s="12" t="str">
        <f t="shared" si="22"/>
        <v/>
      </c>
      <c r="I318" s="12" t="str">
        <f t="shared" si="23"/>
        <v/>
      </c>
      <c r="J318" s="12" t="str">
        <f t="shared" si="24"/>
        <v/>
      </c>
    </row>
    <row r="319" spans="6:10" x14ac:dyDescent="0.25">
      <c r="F319" s="9" t="str">
        <f t="shared" si="20"/>
        <v/>
      </c>
      <c r="G319" s="10" t="str">
        <f t="shared" ref="G319:G320" si="25">IF(F318&lt;$C$4,($C$2/(((1-((1+$C$3)^-$C$4))/$C$3)))*((1+$C$5)^(F319-1)),"")</f>
        <v/>
      </c>
      <c r="H319" s="12" t="str">
        <f t="shared" ref="H319:H320" si="26">IF(F318&lt;$C$4, J318*$C$3,"")</f>
        <v/>
      </c>
      <c r="I319" s="12" t="str">
        <f t="shared" ref="I319:I320" si="27">IF(F318&lt;$C$4,G319-H319,"")</f>
        <v/>
      </c>
      <c r="J319" s="12" t="str">
        <f t="shared" ref="J319:J320" si="28">IF(F318&lt;$C$4, G319*(1-(1+$C$3)^-($C$4-F319))/$C$3,"")</f>
        <v/>
      </c>
    </row>
    <row r="320" spans="6:10" x14ac:dyDescent="0.25">
      <c r="F320" s="9" t="str">
        <f t="shared" si="20"/>
        <v/>
      </c>
      <c r="G320" s="10" t="str">
        <f t="shared" si="25"/>
        <v/>
      </c>
      <c r="H320" s="12" t="str">
        <f t="shared" si="26"/>
        <v/>
      </c>
      <c r="I320" s="12" t="str">
        <f t="shared" si="27"/>
        <v/>
      </c>
      <c r="J320" s="12" t="str">
        <f t="shared" si="28"/>
        <v/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BA7C9-2EFA-4852-985D-722C39D6F1E8}">
  <dimension ref="A1:Q160"/>
  <sheetViews>
    <sheetView showGridLines="0" topLeftCell="B1" workbookViewId="0">
      <selection activeCell="C4" sqref="C4"/>
    </sheetView>
  </sheetViews>
  <sheetFormatPr defaultColWidth="8.85546875" defaultRowHeight="15" x14ac:dyDescent="0.25"/>
  <cols>
    <col min="3" max="3" width="12.140625" bestFit="1" customWidth="1"/>
    <col min="4" max="4" width="12.7109375" bestFit="1" customWidth="1"/>
    <col min="7" max="7" width="15.85546875" bestFit="1" customWidth="1"/>
    <col min="8" max="8" width="20.85546875" bestFit="1" customWidth="1"/>
    <col min="9" max="9" width="13.85546875" bestFit="1" customWidth="1"/>
    <col min="10" max="10" width="12.28515625" bestFit="1" customWidth="1"/>
    <col min="11" max="11" width="20" bestFit="1" customWidth="1"/>
    <col min="12" max="12" width="18.140625" bestFit="1" customWidth="1"/>
    <col min="13" max="13" width="20.28515625" bestFit="1" customWidth="1"/>
    <col min="14" max="14" width="22.140625" customWidth="1"/>
    <col min="15" max="15" width="10.28515625" bestFit="1" customWidth="1"/>
    <col min="17" max="17" width="17.140625" bestFit="1" customWidth="1"/>
  </cols>
  <sheetData>
    <row r="1" spans="1:17" x14ac:dyDescent="0.25">
      <c r="A1" s="38" t="s">
        <v>13</v>
      </c>
      <c r="B1" s="1"/>
      <c r="C1" s="1"/>
      <c r="D1" s="1"/>
      <c r="E1" s="38" t="s">
        <v>17</v>
      </c>
      <c r="F1" s="1"/>
      <c r="G1" s="21">
        <f>SUM(G4:G1000)</f>
        <v>7500</v>
      </c>
      <c r="H1" s="21">
        <f>SUM(H4:H1000)</f>
        <v>41115.483431540895</v>
      </c>
      <c r="I1" s="21">
        <f t="shared" ref="I1:Q1" si="0">SUM(I4:I1000)</f>
        <v>48615.483431540895</v>
      </c>
      <c r="J1" s="21">
        <f t="shared" si="0"/>
        <v>39867.845382341024</v>
      </c>
      <c r="K1" s="21">
        <f t="shared" si="0"/>
        <v>32367.845382341024</v>
      </c>
      <c r="L1" s="21">
        <f t="shared" si="0"/>
        <v>463022.36976734269</v>
      </c>
      <c r="M1" s="21">
        <f t="shared" si="0"/>
        <v>829724.75302916137</v>
      </c>
      <c r="N1" s="21">
        <f t="shared" si="0"/>
        <v>366702.38326181861</v>
      </c>
      <c r="O1" s="21">
        <f t="shared" si="0"/>
        <v>27.152113927478375</v>
      </c>
      <c r="P1" s="21">
        <f t="shared" si="0"/>
        <v>17.293416916206482</v>
      </c>
      <c r="Q1" s="21">
        <f t="shared" si="0"/>
        <v>30.438346264569002</v>
      </c>
    </row>
    <row r="2" spans="1:17" x14ac:dyDescent="0.25">
      <c r="A2" s="1"/>
      <c r="B2" s="39" t="s">
        <v>15</v>
      </c>
      <c r="C2" s="13">
        <v>40000</v>
      </c>
      <c r="D2" s="21">
        <f>C2*(1+C3)^C4</f>
        <v>83157.127176454713</v>
      </c>
      <c r="E2" s="1"/>
      <c r="F2" s="36" t="s">
        <v>0</v>
      </c>
      <c r="G2" s="36" t="s">
        <v>21</v>
      </c>
      <c r="H2" s="36" t="s">
        <v>22</v>
      </c>
      <c r="I2" s="36" t="s">
        <v>20</v>
      </c>
      <c r="J2" s="36" t="s">
        <v>2</v>
      </c>
      <c r="K2" s="36" t="s">
        <v>23</v>
      </c>
      <c r="L2" s="36" t="s">
        <v>5</v>
      </c>
      <c r="M2" s="36" t="s">
        <v>4</v>
      </c>
      <c r="N2" s="36" t="s">
        <v>24</v>
      </c>
      <c r="O2" s="37" t="s">
        <v>38</v>
      </c>
      <c r="P2" s="37" t="s">
        <v>39</v>
      </c>
      <c r="Q2" s="37" t="s">
        <v>40</v>
      </c>
    </row>
    <row r="3" spans="1:17" x14ac:dyDescent="0.25">
      <c r="A3" s="1"/>
      <c r="B3" s="39" t="s">
        <v>14</v>
      </c>
      <c r="C3" s="28">
        <v>0.05</v>
      </c>
      <c r="D3" s="1"/>
      <c r="E3" s="1"/>
      <c r="F3" s="11">
        <v>0</v>
      </c>
      <c r="G3" s="10"/>
      <c r="H3" s="10"/>
      <c r="I3" s="10"/>
      <c r="J3" s="10"/>
      <c r="K3" s="10"/>
      <c r="L3" s="10"/>
      <c r="M3" s="10">
        <f>C2</f>
        <v>40000</v>
      </c>
      <c r="N3" s="10">
        <f>C2</f>
        <v>40000</v>
      </c>
    </row>
    <row r="4" spans="1:17" x14ac:dyDescent="0.25">
      <c r="A4" s="1"/>
      <c r="B4" s="39" t="s">
        <v>6</v>
      </c>
      <c r="C4" s="15">
        <v>15</v>
      </c>
      <c r="D4" s="1"/>
      <c r="E4" s="1"/>
      <c r="F4" s="22">
        <f>IF(F3&lt;$C$4, F3+1,"")</f>
        <v>1</v>
      </c>
      <c r="G4" s="10">
        <f>IF(F3&lt;$C$4, $C$5, "")</f>
        <v>500</v>
      </c>
      <c r="H4" s="29">
        <f t="shared" ref="H4:H35" si="1">IF(F3&lt;$C$4,$C$9*((1+$C$7)^(F4-1)),"")</f>
        <v>2377.5222462259399</v>
      </c>
      <c r="I4" s="10">
        <f>IF(F3&lt;$C$4,G4+H4,"")</f>
        <v>2877.5222462259399</v>
      </c>
      <c r="J4" s="10">
        <f>IF(F3&lt;$C$4,M3*$C$3,"")</f>
        <v>2000</v>
      </c>
      <c r="K4" s="10">
        <f>IF(F3&lt;$C$4,J4-G4,"")</f>
        <v>1500</v>
      </c>
      <c r="L4" s="10">
        <f>H4</f>
        <v>2377.5222462259399</v>
      </c>
      <c r="M4" s="10">
        <f>IF(F3&lt;$C$4,M3+K4,"")</f>
        <v>41500</v>
      </c>
      <c r="N4" s="10">
        <f>IF(F3&lt;$C$4,M4-L4,"")</f>
        <v>39122.477753774059</v>
      </c>
      <c r="O4" s="34">
        <f>IF(F3&lt;$C$4, (1+$C$6)^($C$4-F4), "")</f>
        <v>2.9371936242576586</v>
      </c>
      <c r="P4" s="34">
        <f>IF(F3&lt;$C$4, (1+$C$7)^(F4-1), "")</f>
        <v>1</v>
      </c>
      <c r="Q4" s="34">
        <f>IF(F3&lt;$C$4, O4*P4, "")</f>
        <v>2.9371936242576586</v>
      </c>
    </row>
    <row r="5" spans="1:17" x14ac:dyDescent="0.25">
      <c r="A5" s="1"/>
      <c r="B5" s="39" t="s">
        <v>18</v>
      </c>
      <c r="C5" s="16">
        <v>500</v>
      </c>
      <c r="D5" s="1"/>
      <c r="E5" s="1"/>
      <c r="F5" s="22">
        <f t="shared" ref="F5" si="2">IF(F4&lt;$C$4, F4+1,"")</f>
        <v>2</v>
      </c>
      <c r="G5" s="10">
        <f t="shared" ref="G5:G68" si="3">IF(F4&lt;$C$4, $C$5, "")</f>
        <v>500</v>
      </c>
      <c r="H5" s="29">
        <f t="shared" si="1"/>
        <v>2425.0726911504585</v>
      </c>
      <c r="I5" s="10">
        <f t="shared" ref="I5" si="4">IF(F4&lt;$C$4,G5+H5,"")</f>
        <v>2925.0726911504585</v>
      </c>
      <c r="J5" s="10">
        <f t="shared" ref="J5" si="5">IF(F4&lt;$C$4,M4*$C$3,"")</f>
        <v>2075</v>
      </c>
      <c r="K5" s="10">
        <f t="shared" ref="K5" si="6">IF(F4&lt;$C$4,J5-G5,"")</f>
        <v>1575</v>
      </c>
      <c r="L5" s="10">
        <f>IF(F3&lt;$C$4-1,L4*(1+$C$6)+H5,"")</f>
        <v>4992.7967170744741</v>
      </c>
      <c r="M5" s="10">
        <f t="shared" ref="M5" si="7">IF(F4&lt;$C$4,M4+K5,"")</f>
        <v>43075</v>
      </c>
      <c r="N5" s="10">
        <f t="shared" ref="N5" si="8">IF(F4&lt;$C$4,M5-L5,"")</f>
        <v>38082.203282925526</v>
      </c>
      <c r="O5" s="34">
        <f t="shared" ref="O5:O68" si="9">IF(F4&lt;$C$4, (1+$C$6)^($C$4-F5), "")</f>
        <v>2.7196237261644982</v>
      </c>
      <c r="P5" s="34">
        <f t="shared" ref="P5:P68" si="10">IF(F4&lt;$C$4, (1+$C$7)^(F5-1), "")</f>
        <v>1.02</v>
      </c>
      <c r="Q5" s="34">
        <f t="shared" ref="Q5:Q68" si="11">IF(F4&lt;$C$4, O5*P5, "")</f>
        <v>2.7740162006877882</v>
      </c>
    </row>
    <row r="6" spans="1:17" x14ac:dyDescent="0.25">
      <c r="A6" s="1"/>
      <c r="B6" s="39" t="s">
        <v>19</v>
      </c>
      <c r="C6" s="28">
        <v>0.08</v>
      </c>
      <c r="D6" s="1"/>
      <c r="E6" s="1"/>
      <c r="F6" s="22">
        <f t="shared" ref="F6:F69" si="12">IF(F5&lt;$C$4, F5+1,"")</f>
        <v>3</v>
      </c>
      <c r="G6" s="10">
        <f t="shared" si="3"/>
        <v>500</v>
      </c>
      <c r="H6" s="29">
        <f t="shared" si="1"/>
        <v>2473.5741449734678</v>
      </c>
      <c r="I6" s="10">
        <f t="shared" ref="I6:I69" si="13">IF(F5&lt;$C$4,G6+H6,"")</f>
        <v>2973.5741449734678</v>
      </c>
      <c r="J6" s="10">
        <f t="shared" ref="J6:J69" si="14">IF(F5&lt;$C$4,M5*$C$3,"")</f>
        <v>2153.75</v>
      </c>
      <c r="K6" s="10">
        <f t="shared" ref="K6:K69" si="15">IF(F5&lt;$C$4,J6-G6,"")</f>
        <v>1653.75</v>
      </c>
      <c r="L6" s="10">
        <f t="shared" ref="L6:L69" si="16">IF(F4&lt;$C$4-1,L5*(1+$C$6)+H6,"")</f>
        <v>7865.7945994139</v>
      </c>
      <c r="M6" s="10">
        <f t="shared" ref="M6:M69" si="17">IF(F5&lt;$C$4,M5+K6,"")</f>
        <v>44728.75</v>
      </c>
      <c r="N6" s="10">
        <f t="shared" ref="N6:N69" si="18">IF(F5&lt;$C$4,M6-L6,"")</f>
        <v>36862.955400586099</v>
      </c>
      <c r="O6" s="34">
        <f t="shared" si="9"/>
        <v>2.5181701168189798</v>
      </c>
      <c r="P6" s="34">
        <f t="shared" si="10"/>
        <v>1.0404</v>
      </c>
      <c r="Q6" s="34">
        <f t="shared" si="11"/>
        <v>2.6199041895384667</v>
      </c>
    </row>
    <row r="7" spans="1:17" x14ac:dyDescent="0.25">
      <c r="A7" s="1"/>
      <c r="B7" s="39" t="s">
        <v>16</v>
      </c>
      <c r="C7" s="28">
        <v>0.02</v>
      </c>
      <c r="D7" s="1"/>
      <c r="E7" s="1"/>
      <c r="F7" s="22">
        <f t="shared" si="12"/>
        <v>4</v>
      </c>
      <c r="G7" s="10">
        <f t="shared" si="3"/>
        <v>500</v>
      </c>
      <c r="H7" s="29">
        <f t="shared" si="1"/>
        <v>2523.0456278729371</v>
      </c>
      <c r="I7" s="10">
        <f t="shared" si="13"/>
        <v>3023.0456278729371</v>
      </c>
      <c r="J7" s="10">
        <f t="shared" si="14"/>
        <v>2236.4375</v>
      </c>
      <c r="K7" s="10">
        <f t="shared" si="15"/>
        <v>1736.4375</v>
      </c>
      <c r="L7" s="10">
        <f t="shared" si="16"/>
        <v>11018.103795239949</v>
      </c>
      <c r="M7" s="10">
        <f t="shared" si="17"/>
        <v>46465.1875</v>
      </c>
      <c r="N7" s="10">
        <f t="shared" si="18"/>
        <v>35447.083704760051</v>
      </c>
      <c r="O7" s="34">
        <f t="shared" si="9"/>
        <v>2.3316389970546108</v>
      </c>
      <c r="P7" s="34">
        <f t="shared" si="10"/>
        <v>1.0612079999999999</v>
      </c>
      <c r="Q7" s="34">
        <f t="shared" si="11"/>
        <v>2.4743539567863291</v>
      </c>
    </row>
    <row r="8" spans="1:17" x14ac:dyDescent="0.25">
      <c r="A8" s="1"/>
      <c r="B8" s="40"/>
      <c r="C8" s="30"/>
      <c r="D8" s="1"/>
      <c r="E8" s="1"/>
      <c r="F8" s="22">
        <f t="shared" si="12"/>
        <v>5</v>
      </c>
      <c r="G8" s="10">
        <f t="shared" si="3"/>
        <v>500</v>
      </c>
      <c r="H8" s="29">
        <f t="shared" si="1"/>
        <v>2573.5065404303959</v>
      </c>
      <c r="I8" s="10">
        <f t="shared" si="13"/>
        <v>3073.5065404303959</v>
      </c>
      <c r="J8" s="10">
        <f t="shared" si="14"/>
        <v>2323.2593750000001</v>
      </c>
      <c r="K8" s="10">
        <f t="shared" si="15"/>
        <v>1823.2593750000001</v>
      </c>
      <c r="L8" s="10">
        <f t="shared" si="16"/>
        <v>14473.058639289542</v>
      </c>
      <c r="M8" s="10">
        <f t="shared" si="17"/>
        <v>48288.446875000001</v>
      </c>
      <c r="N8" s="10">
        <f t="shared" si="18"/>
        <v>33815.388235710459</v>
      </c>
      <c r="O8" s="34">
        <f t="shared" si="9"/>
        <v>2.1589249972727877</v>
      </c>
      <c r="P8" s="34">
        <f t="shared" si="10"/>
        <v>1.08243216</v>
      </c>
      <c r="Q8" s="34">
        <f t="shared" si="11"/>
        <v>2.3368898480759777</v>
      </c>
    </row>
    <row r="9" spans="1:17" x14ac:dyDescent="0.25">
      <c r="A9" s="1"/>
      <c r="B9" s="39" t="s">
        <v>37</v>
      </c>
      <c r="C9" s="35">
        <f>(($C$2*((1+$C$3)^$C$4))-($C$5*(((1+$C$3)^$C$4)-1)/$C$3))/($Q$1)</f>
        <v>2377.5222462259399</v>
      </c>
      <c r="E9" s="1"/>
      <c r="F9" s="22">
        <f t="shared" si="12"/>
        <v>6</v>
      </c>
      <c r="G9" s="10">
        <f t="shared" si="3"/>
        <v>500</v>
      </c>
      <c r="H9" s="29">
        <f t="shared" si="1"/>
        <v>2624.9766712390037</v>
      </c>
      <c r="I9" s="10">
        <f t="shared" si="13"/>
        <v>3124.9766712390037</v>
      </c>
      <c r="J9" s="10">
        <f t="shared" si="14"/>
        <v>2414.42234375</v>
      </c>
      <c r="K9" s="10">
        <f t="shared" si="15"/>
        <v>1914.42234375</v>
      </c>
      <c r="L9" s="10">
        <f t="shared" si="16"/>
        <v>18255.88000167171</v>
      </c>
      <c r="M9" s="10">
        <f t="shared" si="17"/>
        <v>50202.869218749998</v>
      </c>
      <c r="N9" s="10">
        <f t="shared" si="18"/>
        <v>31946.989217078288</v>
      </c>
      <c r="O9" s="34">
        <f t="shared" si="9"/>
        <v>1.9990046271044331</v>
      </c>
      <c r="P9" s="34">
        <f t="shared" si="10"/>
        <v>1.1040808032</v>
      </c>
      <c r="Q9" s="34">
        <f t="shared" si="11"/>
        <v>2.2070626342939788</v>
      </c>
    </row>
    <row r="10" spans="1:17" x14ac:dyDescent="0.25">
      <c r="A10" s="1"/>
      <c r="B10" s="32"/>
      <c r="C10" s="33"/>
      <c r="D10" s="1"/>
      <c r="E10" s="1"/>
      <c r="F10" s="22">
        <f t="shared" si="12"/>
        <v>7</v>
      </c>
      <c r="G10" s="10">
        <f t="shared" si="3"/>
        <v>500</v>
      </c>
      <c r="H10" s="29">
        <f t="shared" si="1"/>
        <v>2677.4762046637843</v>
      </c>
      <c r="I10" s="10">
        <f t="shared" si="13"/>
        <v>3177.4762046637843</v>
      </c>
      <c r="J10" s="10">
        <f t="shared" si="14"/>
        <v>2510.1434609375001</v>
      </c>
      <c r="K10" s="10">
        <f t="shared" si="15"/>
        <v>2010.1434609375001</v>
      </c>
      <c r="L10" s="10">
        <f t="shared" si="16"/>
        <v>22393.826606469233</v>
      </c>
      <c r="M10" s="10">
        <f t="shared" si="17"/>
        <v>52213.012679687497</v>
      </c>
      <c r="N10" s="10">
        <f t="shared" si="18"/>
        <v>29819.186073218265</v>
      </c>
      <c r="O10" s="34">
        <f t="shared" si="9"/>
        <v>1.8509302102818823</v>
      </c>
      <c r="P10" s="34">
        <f t="shared" si="10"/>
        <v>1.1261624192640001</v>
      </c>
      <c r="Q10" s="34">
        <f t="shared" si="11"/>
        <v>2.0844480434998691</v>
      </c>
    </row>
    <row r="11" spans="1:17" x14ac:dyDescent="0.25">
      <c r="A11" s="1"/>
      <c r="B11" s="1"/>
      <c r="C11" s="11"/>
      <c r="D11" s="1"/>
      <c r="E11" s="1"/>
      <c r="F11" s="22">
        <f t="shared" si="12"/>
        <v>8</v>
      </c>
      <c r="G11" s="10">
        <f t="shared" si="3"/>
        <v>500</v>
      </c>
      <c r="H11" s="29">
        <f t="shared" si="1"/>
        <v>2731.0257287570594</v>
      </c>
      <c r="I11" s="10">
        <f t="shared" si="13"/>
        <v>3231.0257287570594</v>
      </c>
      <c r="J11" s="10">
        <f t="shared" si="14"/>
        <v>2610.650633984375</v>
      </c>
      <c r="K11" s="10">
        <f t="shared" si="15"/>
        <v>2110.650633984375</v>
      </c>
      <c r="L11" s="10">
        <f t="shared" si="16"/>
        <v>26916.358463743833</v>
      </c>
      <c r="M11" s="10">
        <f t="shared" si="17"/>
        <v>54323.663313671874</v>
      </c>
      <c r="N11" s="10">
        <f t="shared" si="18"/>
        <v>27407.304849928041</v>
      </c>
      <c r="O11" s="34">
        <f t="shared" si="9"/>
        <v>1.7138242687795207</v>
      </c>
      <c r="P11" s="34">
        <f t="shared" si="10"/>
        <v>1.1486856676492798</v>
      </c>
      <c r="Q11" s="34">
        <f t="shared" si="11"/>
        <v>1.9686453744165424</v>
      </c>
    </row>
    <row r="12" spans="1:17" x14ac:dyDescent="0.25">
      <c r="A12" s="1"/>
      <c r="D12" s="1"/>
      <c r="E12" s="1"/>
      <c r="F12" s="22">
        <f t="shared" si="12"/>
        <v>9</v>
      </c>
      <c r="G12" s="10">
        <f t="shared" si="3"/>
        <v>500</v>
      </c>
      <c r="H12" s="29">
        <f t="shared" si="1"/>
        <v>2785.6462433322008</v>
      </c>
      <c r="I12" s="10">
        <f t="shared" si="13"/>
        <v>3285.6462433322008</v>
      </c>
      <c r="J12" s="10">
        <f t="shared" si="14"/>
        <v>2716.1831656835939</v>
      </c>
      <c r="K12" s="10">
        <f t="shared" si="15"/>
        <v>2216.1831656835939</v>
      </c>
      <c r="L12" s="10">
        <f t="shared" si="16"/>
        <v>31855.313384175541</v>
      </c>
      <c r="M12" s="10">
        <f t="shared" si="17"/>
        <v>56539.846479355467</v>
      </c>
      <c r="N12" s="10">
        <f t="shared" si="18"/>
        <v>24684.533095179926</v>
      </c>
      <c r="O12" s="34">
        <f t="shared" si="9"/>
        <v>1.5868743229440005</v>
      </c>
      <c r="P12" s="34">
        <f t="shared" si="10"/>
        <v>1.1716593810022655</v>
      </c>
      <c r="Q12" s="34">
        <f t="shared" si="11"/>
        <v>1.8592761869489569</v>
      </c>
    </row>
    <row r="13" spans="1:17" x14ac:dyDescent="0.25">
      <c r="A13" s="1"/>
      <c r="B13" s="1"/>
      <c r="C13" s="31"/>
      <c r="D13" s="1"/>
      <c r="E13" s="1"/>
      <c r="F13" s="22">
        <f t="shared" si="12"/>
        <v>10</v>
      </c>
      <c r="G13" s="10">
        <f t="shared" si="3"/>
        <v>500</v>
      </c>
      <c r="H13" s="29">
        <f t="shared" si="1"/>
        <v>2841.3591681988446</v>
      </c>
      <c r="I13" s="10">
        <f t="shared" si="13"/>
        <v>3341.3591681988446</v>
      </c>
      <c r="J13" s="10">
        <f t="shared" si="14"/>
        <v>2826.9923239677737</v>
      </c>
      <c r="K13" s="10">
        <f t="shared" si="15"/>
        <v>2326.9923239677737</v>
      </c>
      <c r="L13" s="10">
        <f t="shared" si="16"/>
        <v>37245.097623108435</v>
      </c>
      <c r="M13" s="10">
        <f t="shared" si="17"/>
        <v>58866.83880332324</v>
      </c>
      <c r="N13" s="10">
        <f t="shared" si="18"/>
        <v>21621.741180214805</v>
      </c>
      <c r="O13" s="34">
        <f t="shared" si="9"/>
        <v>1.4693280768000003</v>
      </c>
      <c r="P13" s="34">
        <f t="shared" si="10"/>
        <v>1.1950925686223108</v>
      </c>
      <c r="Q13" s="34">
        <f t="shared" si="11"/>
        <v>1.7559830654517925</v>
      </c>
    </row>
    <row r="14" spans="1:17" x14ac:dyDescent="0.25">
      <c r="A14" s="1"/>
      <c r="B14" s="1"/>
      <c r="C14" s="1"/>
      <c r="D14" s="1"/>
      <c r="E14" s="1"/>
      <c r="F14" s="22">
        <f t="shared" si="12"/>
        <v>11</v>
      </c>
      <c r="G14" s="10">
        <f t="shared" si="3"/>
        <v>500</v>
      </c>
      <c r="H14" s="29">
        <f t="shared" si="1"/>
        <v>2898.1863515628215</v>
      </c>
      <c r="I14" s="10">
        <f t="shared" si="13"/>
        <v>3398.1863515628215</v>
      </c>
      <c r="J14" s="10">
        <f t="shared" si="14"/>
        <v>2943.3419401661622</v>
      </c>
      <c r="K14" s="10">
        <f t="shared" si="15"/>
        <v>2443.3419401661622</v>
      </c>
      <c r="L14" s="10">
        <f t="shared" si="16"/>
        <v>43122.891784519932</v>
      </c>
      <c r="M14" s="10">
        <f t="shared" si="17"/>
        <v>61310.1807434894</v>
      </c>
      <c r="N14" s="10">
        <f t="shared" si="18"/>
        <v>18187.288958969468</v>
      </c>
      <c r="O14" s="34">
        <f t="shared" si="9"/>
        <v>1.3604889600000003</v>
      </c>
      <c r="P14" s="34">
        <f t="shared" si="10"/>
        <v>1.2189944199947571</v>
      </c>
      <c r="Q14" s="34">
        <f t="shared" si="11"/>
        <v>1.6584284507044706</v>
      </c>
    </row>
    <row r="15" spans="1:17" x14ac:dyDescent="0.25">
      <c r="A15" s="1"/>
      <c r="B15" s="1"/>
      <c r="C15" s="21"/>
      <c r="D15" s="1"/>
      <c r="E15" s="1"/>
      <c r="F15" s="22">
        <f t="shared" si="12"/>
        <v>12</v>
      </c>
      <c r="G15" s="10">
        <f t="shared" si="3"/>
        <v>500</v>
      </c>
      <c r="H15" s="29">
        <f t="shared" si="1"/>
        <v>2956.1500785940775</v>
      </c>
      <c r="I15" s="10">
        <f t="shared" si="13"/>
        <v>3456.1500785940775</v>
      </c>
      <c r="J15" s="10">
        <f t="shared" si="14"/>
        <v>3065.50903717447</v>
      </c>
      <c r="K15" s="10">
        <f t="shared" si="15"/>
        <v>2565.50903717447</v>
      </c>
      <c r="L15" s="10">
        <f t="shared" si="16"/>
        <v>49528.873205875614</v>
      </c>
      <c r="M15" s="10">
        <f t="shared" si="17"/>
        <v>63875.689780663874</v>
      </c>
      <c r="N15" s="10">
        <f t="shared" si="18"/>
        <v>14346.816574788259</v>
      </c>
      <c r="O15" s="34">
        <f t="shared" si="9"/>
        <v>1.2597120000000002</v>
      </c>
      <c r="P15" s="34">
        <f t="shared" si="10"/>
        <v>1.243374308394652</v>
      </c>
      <c r="Q15" s="34">
        <f t="shared" si="11"/>
        <v>1.5662935367764441</v>
      </c>
    </row>
    <row r="16" spans="1:17" x14ac:dyDescent="0.25">
      <c r="A16" s="1"/>
      <c r="B16" s="1"/>
      <c r="C16" s="1"/>
      <c r="D16" s="1"/>
      <c r="E16" s="1"/>
      <c r="F16" s="22">
        <f t="shared" si="12"/>
        <v>13</v>
      </c>
      <c r="G16" s="10">
        <f t="shared" si="3"/>
        <v>500</v>
      </c>
      <c r="H16" s="29">
        <f t="shared" si="1"/>
        <v>3015.2730801659595</v>
      </c>
      <c r="I16" s="10">
        <f t="shared" si="13"/>
        <v>3515.2730801659595</v>
      </c>
      <c r="J16" s="10">
        <f t="shared" si="14"/>
        <v>3193.7844890331939</v>
      </c>
      <c r="K16" s="10">
        <f t="shared" si="15"/>
        <v>2693.7844890331939</v>
      </c>
      <c r="L16" s="10">
        <f t="shared" si="16"/>
        <v>56506.456142511626</v>
      </c>
      <c r="M16" s="10">
        <f t="shared" si="17"/>
        <v>66569.474269697064</v>
      </c>
      <c r="N16" s="10">
        <f t="shared" si="18"/>
        <v>10063.018127185438</v>
      </c>
      <c r="O16" s="34">
        <f t="shared" si="9"/>
        <v>1.1664000000000001</v>
      </c>
      <c r="P16" s="34">
        <f t="shared" si="10"/>
        <v>1.2682417945625453</v>
      </c>
      <c r="Q16" s="34">
        <f t="shared" si="11"/>
        <v>1.479277229177753</v>
      </c>
    </row>
    <row r="17" spans="1:17" x14ac:dyDescent="0.25">
      <c r="A17" s="1"/>
      <c r="B17" s="1"/>
      <c r="C17" s="21"/>
      <c r="D17" s="1"/>
      <c r="E17" s="1"/>
      <c r="F17" s="22">
        <f t="shared" si="12"/>
        <v>14</v>
      </c>
      <c r="G17" s="10">
        <f t="shared" si="3"/>
        <v>500</v>
      </c>
      <c r="H17" s="29">
        <f t="shared" si="1"/>
        <v>3075.5785417692787</v>
      </c>
      <c r="I17" s="10">
        <f t="shared" si="13"/>
        <v>3575.5785417692787</v>
      </c>
      <c r="J17" s="10">
        <f t="shared" si="14"/>
        <v>3328.4737134848533</v>
      </c>
      <c r="K17" s="10">
        <f t="shared" si="15"/>
        <v>2828.4737134848533</v>
      </c>
      <c r="L17" s="10">
        <f t="shared" si="16"/>
        <v>64102.551175681845</v>
      </c>
      <c r="M17" s="10">
        <f t="shared" si="17"/>
        <v>69397.947983181919</v>
      </c>
      <c r="N17" s="10">
        <f t="shared" si="18"/>
        <v>5295.3968075000739</v>
      </c>
      <c r="O17" s="34">
        <f t="shared" si="9"/>
        <v>1.08</v>
      </c>
      <c r="P17" s="34">
        <f t="shared" si="10"/>
        <v>1.2936066304537961</v>
      </c>
      <c r="Q17" s="34">
        <f t="shared" si="11"/>
        <v>1.3970951608900999</v>
      </c>
    </row>
    <row r="18" spans="1:17" x14ac:dyDescent="0.25">
      <c r="A18" s="1"/>
      <c r="B18" s="1"/>
      <c r="C18" s="1"/>
      <c r="D18" s="1"/>
      <c r="E18" s="1"/>
      <c r="F18" s="22">
        <f t="shared" si="12"/>
        <v>15</v>
      </c>
      <c r="G18" s="10">
        <f t="shared" si="3"/>
        <v>500</v>
      </c>
      <c r="H18" s="29">
        <f t="shared" si="1"/>
        <v>3137.0901126046647</v>
      </c>
      <c r="I18" s="10">
        <f t="shared" si="13"/>
        <v>3637.0901126046647</v>
      </c>
      <c r="J18" s="10">
        <f t="shared" si="14"/>
        <v>3469.897399159096</v>
      </c>
      <c r="K18" s="10">
        <f t="shared" si="15"/>
        <v>2969.897399159096</v>
      </c>
      <c r="L18" s="10">
        <f t="shared" si="16"/>
        <v>72367.845382341067</v>
      </c>
      <c r="M18" s="10">
        <f t="shared" si="17"/>
        <v>72367.845382341009</v>
      </c>
      <c r="N18" s="10">
        <f t="shared" si="18"/>
        <v>-5.8207660913467407E-11</v>
      </c>
      <c r="O18" s="34">
        <f t="shared" si="9"/>
        <v>1</v>
      </c>
      <c r="P18" s="34">
        <f t="shared" si="10"/>
        <v>1.3194787630628722</v>
      </c>
      <c r="Q18" s="34">
        <f t="shared" si="11"/>
        <v>1.3194787630628722</v>
      </c>
    </row>
    <row r="19" spans="1:17" x14ac:dyDescent="0.25">
      <c r="A19" s="1"/>
      <c r="B19" s="1"/>
      <c r="C19" s="1"/>
      <c r="D19" s="1"/>
      <c r="E19" s="1"/>
      <c r="F19" s="22" t="str">
        <f t="shared" si="12"/>
        <v/>
      </c>
      <c r="G19" s="10" t="str">
        <f t="shared" si="3"/>
        <v/>
      </c>
      <c r="H19" s="29" t="str">
        <f t="shared" si="1"/>
        <v/>
      </c>
      <c r="I19" s="10" t="str">
        <f t="shared" si="13"/>
        <v/>
      </c>
      <c r="J19" s="10" t="str">
        <f t="shared" si="14"/>
        <v/>
      </c>
      <c r="K19" s="10" t="str">
        <f t="shared" si="15"/>
        <v/>
      </c>
      <c r="L19" s="10" t="str">
        <f t="shared" si="16"/>
        <v/>
      </c>
      <c r="M19" s="10" t="str">
        <f t="shared" si="17"/>
        <v/>
      </c>
      <c r="N19" s="10" t="str">
        <f t="shared" si="18"/>
        <v/>
      </c>
      <c r="O19" s="34" t="str">
        <f t="shared" si="9"/>
        <v/>
      </c>
      <c r="P19" s="34" t="str">
        <f t="shared" si="10"/>
        <v/>
      </c>
      <c r="Q19" s="34" t="str">
        <f t="shared" si="11"/>
        <v/>
      </c>
    </row>
    <row r="20" spans="1:17" x14ac:dyDescent="0.25">
      <c r="A20" s="1"/>
      <c r="B20" s="1"/>
      <c r="C20" s="1"/>
      <c r="D20" s="1"/>
      <c r="E20" s="1"/>
      <c r="F20" s="22" t="str">
        <f t="shared" si="12"/>
        <v/>
      </c>
      <c r="G20" s="10" t="str">
        <f t="shared" si="3"/>
        <v/>
      </c>
      <c r="H20" s="29" t="str">
        <f t="shared" si="1"/>
        <v/>
      </c>
      <c r="I20" s="10" t="str">
        <f t="shared" si="13"/>
        <v/>
      </c>
      <c r="J20" s="10" t="str">
        <f t="shared" si="14"/>
        <v/>
      </c>
      <c r="K20" s="10" t="str">
        <f t="shared" si="15"/>
        <v/>
      </c>
      <c r="L20" s="10" t="str">
        <f t="shared" si="16"/>
        <v/>
      </c>
      <c r="M20" s="10" t="str">
        <f t="shared" si="17"/>
        <v/>
      </c>
      <c r="N20" s="10" t="str">
        <f t="shared" si="18"/>
        <v/>
      </c>
      <c r="O20" s="34" t="str">
        <f t="shared" si="9"/>
        <v/>
      </c>
      <c r="P20" s="34" t="str">
        <f t="shared" si="10"/>
        <v/>
      </c>
      <c r="Q20" s="34" t="str">
        <f t="shared" si="11"/>
        <v/>
      </c>
    </row>
    <row r="21" spans="1:17" x14ac:dyDescent="0.25">
      <c r="A21" s="1"/>
      <c r="B21" s="1"/>
      <c r="C21" s="1"/>
      <c r="D21" s="1"/>
      <c r="E21" s="1"/>
      <c r="F21" s="22" t="str">
        <f t="shared" si="12"/>
        <v/>
      </c>
      <c r="G21" s="10" t="str">
        <f t="shared" si="3"/>
        <v/>
      </c>
      <c r="H21" s="29" t="str">
        <f t="shared" si="1"/>
        <v/>
      </c>
      <c r="I21" s="10" t="str">
        <f t="shared" si="13"/>
        <v/>
      </c>
      <c r="J21" s="10" t="str">
        <f t="shared" si="14"/>
        <v/>
      </c>
      <c r="K21" s="10" t="str">
        <f t="shared" si="15"/>
        <v/>
      </c>
      <c r="L21" s="10" t="str">
        <f t="shared" si="16"/>
        <v/>
      </c>
      <c r="M21" s="10" t="str">
        <f t="shared" si="17"/>
        <v/>
      </c>
      <c r="N21" s="10" t="str">
        <f t="shared" si="18"/>
        <v/>
      </c>
      <c r="O21" s="34" t="str">
        <f t="shared" si="9"/>
        <v/>
      </c>
      <c r="P21" s="34" t="str">
        <f t="shared" si="10"/>
        <v/>
      </c>
      <c r="Q21" s="34" t="str">
        <f t="shared" si="11"/>
        <v/>
      </c>
    </row>
    <row r="22" spans="1:17" x14ac:dyDescent="0.25">
      <c r="A22" s="1"/>
      <c r="B22" s="1"/>
      <c r="C22" s="1"/>
      <c r="D22" s="1"/>
      <c r="E22" s="1"/>
      <c r="F22" s="22" t="str">
        <f t="shared" si="12"/>
        <v/>
      </c>
      <c r="G22" s="10" t="str">
        <f t="shared" si="3"/>
        <v/>
      </c>
      <c r="H22" s="29" t="str">
        <f t="shared" si="1"/>
        <v/>
      </c>
      <c r="I22" s="10" t="str">
        <f t="shared" si="13"/>
        <v/>
      </c>
      <c r="J22" s="10" t="str">
        <f t="shared" si="14"/>
        <v/>
      </c>
      <c r="K22" s="10" t="str">
        <f t="shared" si="15"/>
        <v/>
      </c>
      <c r="L22" s="10" t="str">
        <f t="shared" si="16"/>
        <v/>
      </c>
      <c r="M22" s="10" t="str">
        <f t="shared" si="17"/>
        <v/>
      </c>
      <c r="N22" s="10" t="str">
        <f t="shared" si="18"/>
        <v/>
      </c>
      <c r="O22" s="34" t="str">
        <f t="shared" si="9"/>
        <v/>
      </c>
      <c r="P22" s="34" t="str">
        <f t="shared" si="10"/>
        <v/>
      </c>
      <c r="Q22" s="34" t="str">
        <f t="shared" si="11"/>
        <v/>
      </c>
    </row>
    <row r="23" spans="1:17" x14ac:dyDescent="0.25">
      <c r="A23" s="1"/>
      <c r="B23" s="1"/>
      <c r="C23" s="1"/>
      <c r="D23" s="1"/>
      <c r="E23" s="1"/>
      <c r="F23" s="22" t="str">
        <f t="shared" si="12"/>
        <v/>
      </c>
      <c r="G23" s="10" t="str">
        <f t="shared" si="3"/>
        <v/>
      </c>
      <c r="H23" s="29" t="str">
        <f t="shared" si="1"/>
        <v/>
      </c>
      <c r="I23" s="10" t="str">
        <f t="shared" si="13"/>
        <v/>
      </c>
      <c r="J23" s="10" t="str">
        <f t="shared" si="14"/>
        <v/>
      </c>
      <c r="K23" s="10" t="str">
        <f t="shared" si="15"/>
        <v/>
      </c>
      <c r="L23" s="10" t="str">
        <f t="shared" si="16"/>
        <v/>
      </c>
      <c r="M23" s="10" t="str">
        <f t="shared" si="17"/>
        <v/>
      </c>
      <c r="N23" s="10" t="str">
        <f t="shared" si="18"/>
        <v/>
      </c>
      <c r="O23" s="34" t="str">
        <f t="shared" si="9"/>
        <v/>
      </c>
      <c r="P23" s="34" t="str">
        <f t="shared" si="10"/>
        <v/>
      </c>
      <c r="Q23" s="34" t="str">
        <f t="shared" si="11"/>
        <v/>
      </c>
    </row>
    <row r="24" spans="1:17" x14ac:dyDescent="0.25">
      <c r="A24" s="1"/>
      <c r="B24" s="1"/>
      <c r="C24" s="1"/>
      <c r="D24" s="1"/>
      <c r="E24" s="1"/>
      <c r="F24" s="22" t="str">
        <f t="shared" si="12"/>
        <v/>
      </c>
      <c r="G24" s="10" t="str">
        <f t="shared" si="3"/>
        <v/>
      </c>
      <c r="H24" s="29" t="str">
        <f t="shared" si="1"/>
        <v/>
      </c>
      <c r="I24" s="10" t="str">
        <f t="shared" si="13"/>
        <v/>
      </c>
      <c r="J24" s="10" t="str">
        <f t="shared" si="14"/>
        <v/>
      </c>
      <c r="K24" s="10" t="str">
        <f t="shared" si="15"/>
        <v/>
      </c>
      <c r="L24" s="10" t="str">
        <f t="shared" si="16"/>
        <v/>
      </c>
      <c r="M24" s="10" t="str">
        <f t="shared" si="17"/>
        <v/>
      </c>
      <c r="N24" s="10" t="str">
        <f t="shared" si="18"/>
        <v/>
      </c>
      <c r="O24" s="34" t="str">
        <f t="shared" si="9"/>
        <v/>
      </c>
      <c r="P24" s="34" t="str">
        <f t="shared" si="10"/>
        <v/>
      </c>
      <c r="Q24" s="34" t="str">
        <f t="shared" si="11"/>
        <v/>
      </c>
    </row>
    <row r="25" spans="1:17" x14ac:dyDescent="0.25">
      <c r="A25" s="1"/>
      <c r="B25" s="1"/>
      <c r="C25" s="1"/>
      <c r="D25" s="1"/>
      <c r="E25" s="1"/>
      <c r="F25" s="22" t="str">
        <f t="shared" si="12"/>
        <v/>
      </c>
      <c r="G25" s="10" t="str">
        <f t="shared" si="3"/>
        <v/>
      </c>
      <c r="H25" s="29" t="str">
        <f t="shared" si="1"/>
        <v/>
      </c>
      <c r="I25" s="10" t="str">
        <f t="shared" si="13"/>
        <v/>
      </c>
      <c r="J25" s="10" t="str">
        <f t="shared" si="14"/>
        <v/>
      </c>
      <c r="K25" s="10" t="str">
        <f t="shared" si="15"/>
        <v/>
      </c>
      <c r="L25" s="10" t="str">
        <f t="shared" si="16"/>
        <v/>
      </c>
      <c r="M25" s="10" t="str">
        <f t="shared" si="17"/>
        <v/>
      </c>
      <c r="N25" s="10" t="str">
        <f t="shared" si="18"/>
        <v/>
      </c>
      <c r="O25" s="34" t="str">
        <f t="shared" si="9"/>
        <v/>
      </c>
      <c r="P25" s="34" t="str">
        <f t="shared" si="10"/>
        <v/>
      </c>
      <c r="Q25" s="34" t="str">
        <f t="shared" si="11"/>
        <v/>
      </c>
    </row>
    <row r="26" spans="1:17" x14ac:dyDescent="0.25">
      <c r="A26" s="1"/>
      <c r="B26" s="1"/>
      <c r="C26" s="1"/>
      <c r="D26" s="1"/>
      <c r="E26" s="1"/>
      <c r="F26" s="22" t="str">
        <f t="shared" si="12"/>
        <v/>
      </c>
      <c r="G26" s="10" t="str">
        <f t="shared" si="3"/>
        <v/>
      </c>
      <c r="H26" s="29" t="str">
        <f t="shared" si="1"/>
        <v/>
      </c>
      <c r="I26" s="10" t="str">
        <f t="shared" si="13"/>
        <v/>
      </c>
      <c r="J26" s="10" t="str">
        <f t="shared" si="14"/>
        <v/>
      </c>
      <c r="K26" s="10" t="str">
        <f t="shared" si="15"/>
        <v/>
      </c>
      <c r="L26" s="10" t="str">
        <f t="shared" si="16"/>
        <v/>
      </c>
      <c r="M26" s="10" t="str">
        <f t="shared" si="17"/>
        <v/>
      </c>
      <c r="N26" s="10" t="str">
        <f t="shared" si="18"/>
        <v/>
      </c>
      <c r="O26" s="34" t="str">
        <f t="shared" si="9"/>
        <v/>
      </c>
      <c r="P26" s="34" t="str">
        <f t="shared" si="10"/>
        <v/>
      </c>
      <c r="Q26" s="34" t="str">
        <f t="shared" si="11"/>
        <v/>
      </c>
    </row>
    <row r="27" spans="1:17" x14ac:dyDescent="0.25">
      <c r="A27" s="1"/>
      <c r="B27" s="1"/>
      <c r="C27" s="1"/>
      <c r="D27" s="1"/>
      <c r="E27" s="1"/>
      <c r="F27" s="22" t="str">
        <f t="shared" si="12"/>
        <v/>
      </c>
      <c r="G27" s="10" t="str">
        <f t="shared" si="3"/>
        <v/>
      </c>
      <c r="H27" s="29" t="str">
        <f t="shared" si="1"/>
        <v/>
      </c>
      <c r="I27" s="10" t="str">
        <f t="shared" si="13"/>
        <v/>
      </c>
      <c r="J27" s="10" t="str">
        <f t="shared" si="14"/>
        <v/>
      </c>
      <c r="K27" s="10" t="str">
        <f t="shared" si="15"/>
        <v/>
      </c>
      <c r="L27" s="10" t="str">
        <f t="shared" si="16"/>
        <v/>
      </c>
      <c r="M27" s="10" t="str">
        <f t="shared" si="17"/>
        <v/>
      </c>
      <c r="N27" s="10" t="str">
        <f t="shared" si="18"/>
        <v/>
      </c>
      <c r="O27" s="34" t="str">
        <f t="shared" si="9"/>
        <v/>
      </c>
      <c r="P27" s="34" t="str">
        <f t="shared" si="10"/>
        <v/>
      </c>
      <c r="Q27" s="34" t="str">
        <f t="shared" si="11"/>
        <v/>
      </c>
    </row>
    <row r="28" spans="1:17" x14ac:dyDescent="0.25">
      <c r="A28" s="1"/>
      <c r="B28" s="1"/>
      <c r="C28" s="1"/>
      <c r="D28" s="1"/>
      <c r="E28" s="1"/>
      <c r="F28" s="22" t="str">
        <f t="shared" si="12"/>
        <v/>
      </c>
      <c r="G28" s="10" t="str">
        <f t="shared" si="3"/>
        <v/>
      </c>
      <c r="H28" s="29" t="str">
        <f t="shared" si="1"/>
        <v/>
      </c>
      <c r="I28" s="10" t="str">
        <f t="shared" si="13"/>
        <v/>
      </c>
      <c r="J28" s="10" t="str">
        <f t="shared" si="14"/>
        <v/>
      </c>
      <c r="K28" s="10" t="str">
        <f t="shared" si="15"/>
        <v/>
      </c>
      <c r="L28" s="10" t="str">
        <f t="shared" si="16"/>
        <v/>
      </c>
      <c r="M28" s="10" t="str">
        <f t="shared" si="17"/>
        <v/>
      </c>
      <c r="N28" s="10" t="str">
        <f t="shared" si="18"/>
        <v/>
      </c>
      <c r="O28" s="34" t="str">
        <f t="shared" si="9"/>
        <v/>
      </c>
      <c r="P28" s="34" t="str">
        <f t="shared" si="10"/>
        <v/>
      </c>
      <c r="Q28" s="34" t="str">
        <f t="shared" si="11"/>
        <v/>
      </c>
    </row>
    <row r="29" spans="1:17" x14ac:dyDescent="0.25">
      <c r="A29" s="1"/>
      <c r="B29" s="1"/>
      <c r="C29" s="1"/>
      <c r="D29" s="1"/>
      <c r="E29" s="1"/>
      <c r="F29" s="22" t="str">
        <f t="shared" si="12"/>
        <v/>
      </c>
      <c r="G29" s="10" t="str">
        <f t="shared" si="3"/>
        <v/>
      </c>
      <c r="H29" s="29" t="str">
        <f t="shared" si="1"/>
        <v/>
      </c>
      <c r="I29" s="10" t="str">
        <f t="shared" si="13"/>
        <v/>
      </c>
      <c r="J29" s="10" t="str">
        <f t="shared" si="14"/>
        <v/>
      </c>
      <c r="K29" s="10" t="str">
        <f t="shared" si="15"/>
        <v/>
      </c>
      <c r="L29" s="10" t="str">
        <f t="shared" si="16"/>
        <v/>
      </c>
      <c r="M29" s="10" t="str">
        <f t="shared" si="17"/>
        <v/>
      </c>
      <c r="N29" s="10" t="str">
        <f t="shared" si="18"/>
        <v/>
      </c>
      <c r="O29" s="34" t="str">
        <f t="shared" si="9"/>
        <v/>
      </c>
      <c r="P29" s="34" t="str">
        <f t="shared" si="10"/>
        <v/>
      </c>
      <c r="Q29" s="34" t="str">
        <f t="shared" si="11"/>
        <v/>
      </c>
    </row>
    <row r="30" spans="1:17" x14ac:dyDescent="0.25">
      <c r="A30" s="1"/>
      <c r="B30" s="1"/>
      <c r="C30" s="1"/>
      <c r="D30" s="1"/>
      <c r="E30" s="1"/>
      <c r="F30" s="22" t="str">
        <f t="shared" si="12"/>
        <v/>
      </c>
      <c r="G30" s="10" t="str">
        <f t="shared" si="3"/>
        <v/>
      </c>
      <c r="H30" s="29" t="str">
        <f t="shared" si="1"/>
        <v/>
      </c>
      <c r="I30" s="10" t="str">
        <f t="shared" si="13"/>
        <v/>
      </c>
      <c r="J30" s="10" t="str">
        <f t="shared" si="14"/>
        <v/>
      </c>
      <c r="K30" s="10" t="str">
        <f t="shared" si="15"/>
        <v/>
      </c>
      <c r="L30" s="10" t="str">
        <f t="shared" si="16"/>
        <v/>
      </c>
      <c r="M30" s="10" t="str">
        <f t="shared" si="17"/>
        <v/>
      </c>
      <c r="N30" s="10" t="str">
        <f t="shared" si="18"/>
        <v/>
      </c>
      <c r="O30" s="34" t="str">
        <f t="shared" si="9"/>
        <v/>
      </c>
      <c r="P30" s="34" t="str">
        <f t="shared" si="10"/>
        <v/>
      </c>
      <c r="Q30" s="34" t="str">
        <f t="shared" si="11"/>
        <v/>
      </c>
    </row>
    <row r="31" spans="1:17" x14ac:dyDescent="0.25">
      <c r="A31" s="1"/>
      <c r="B31" s="1"/>
      <c r="C31" s="1"/>
      <c r="D31" s="1"/>
      <c r="E31" s="1"/>
      <c r="F31" s="22" t="str">
        <f t="shared" si="12"/>
        <v/>
      </c>
      <c r="G31" s="10" t="str">
        <f t="shared" si="3"/>
        <v/>
      </c>
      <c r="H31" s="29" t="str">
        <f t="shared" si="1"/>
        <v/>
      </c>
      <c r="I31" s="10" t="str">
        <f t="shared" si="13"/>
        <v/>
      </c>
      <c r="J31" s="10" t="str">
        <f t="shared" si="14"/>
        <v/>
      </c>
      <c r="K31" s="10" t="str">
        <f t="shared" si="15"/>
        <v/>
      </c>
      <c r="L31" s="10" t="str">
        <f t="shared" si="16"/>
        <v/>
      </c>
      <c r="M31" s="10" t="str">
        <f t="shared" si="17"/>
        <v/>
      </c>
      <c r="N31" s="10" t="str">
        <f t="shared" si="18"/>
        <v/>
      </c>
      <c r="O31" s="34" t="str">
        <f t="shared" si="9"/>
        <v/>
      </c>
      <c r="P31" s="34" t="str">
        <f t="shared" si="10"/>
        <v/>
      </c>
      <c r="Q31" s="34" t="str">
        <f t="shared" si="11"/>
        <v/>
      </c>
    </row>
    <row r="32" spans="1:17" x14ac:dyDescent="0.25">
      <c r="A32" s="1"/>
      <c r="B32" s="1"/>
      <c r="C32" s="1"/>
      <c r="D32" s="1"/>
      <c r="E32" s="1"/>
      <c r="F32" s="22" t="str">
        <f t="shared" si="12"/>
        <v/>
      </c>
      <c r="G32" s="10" t="str">
        <f t="shared" si="3"/>
        <v/>
      </c>
      <c r="H32" s="29" t="str">
        <f t="shared" si="1"/>
        <v/>
      </c>
      <c r="I32" s="10" t="str">
        <f t="shared" si="13"/>
        <v/>
      </c>
      <c r="J32" s="10" t="str">
        <f t="shared" si="14"/>
        <v/>
      </c>
      <c r="K32" s="10" t="str">
        <f t="shared" si="15"/>
        <v/>
      </c>
      <c r="L32" s="10" t="str">
        <f t="shared" si="16"/>
        <v/>
      </c>
      <c r="M32" s="10" t="str">
        <f t="shared" si="17"/>
        <v/>
      </c>
      <c r="N32" s="10" t="str">
        <f t="shared" si="18"/>
        <v/>
      </c>
      <c r="O32" s="34" t="str">
        <f t="shared" si="9"/>
        <v/>
      </c>
      <c r="P32" s="34" t="str">
        <f t="shared" si="10"/>
        <v/>
      </c>
      <c r="Q32" s="34" t="str">
        <f t="shared" si="11"/>
        <v/>
      </c>
    </row>
    <row r="33" spans="1:17" x14ac:dyDescent="0.25">
      <c r="A33" s="1"/>
      <c r="B33" s="1"/>
      <c r="C33" s="1"/>
      <c r="D33" s="1"/>
      <c r="E33" s="1"/>
      <c r="F33" s="22" t="str">
        <f t="shared" si="12"/>
        <v/>
      </c>
      <c r="G33" s="10" t="str">
        <f t="shared" si="3"/>
        <v/>
      </c>
      <c r="H33" s="29" t="str">
        <f t="shared" si="1"/>
        <v/>
      </c>
      <c r="I33" s="10" t="str">
        <f t="shared" si="13"/>
        <v/>
      </c>
      <c r="J33" s="10" t="str">
        <f t="shared" si="14"/>
        <v/>
      </c>
      <c r="K33" s="10" t="str">
        <f t="shared" si="15"/>
        <v/>
      </c>
      <c r="L33" s="10" t="str">
        <f t="shared" si="16"/>
        <v/>
      </c>
      <c r="M33" s="10" t="str">
        <f t="shared" si="17"/>
        <v/>
      </c>
      <c r="N33" s="10" t="str">
        <f t="shared" si="18"/>
        <v/>
      </c>
      <c r="O33" s="34" t="str">
        <f t="shared" si="9"/>
        <v/>
      </c>
      <c r="P33" s="34" t="str">
        <f t="shared" si="10"/>
        <v/>
      </c>
      <c r="Q33" s="34" t="str">
        <f t="shared" si="11"/>
        <v/>
      </c>
    </row>
    <row r="34" spans="1:17" x14ac:dyDescent="0.25">
      <c r="A34" s="1"/>
      <c r="B34" s="1"/>
      <c r="C34" s="1"/>
      <c r="D34" s="1"/>
      <c r="E34" s="1"/>
      <c r="F34" s="22" t="str">
        <f t="shared" si="12"/>
        <v/>
      </c>
      <c r="G34" s="10" t="str">
        <f t="shared" si="3"/>
        <v/>
      </c>
      <c r="H34" s="29" t="str">
        <f t="shared" si="1"/>
        <v/>
      </c>
      <c r="I34" s="10" t="str">
        <f t="shared" si="13"/>
        <v/>
      </c>
      <c r="J34" s="10" t="str">
        <f t="shared" si="14"/>
        <v/>
      </c>
      <c r="K34" s="10" t="str">
        <f t="shared" si="15"/>
        <v/>
      </c>
      <c r="L34" s="10" t="str">
        <f t="shared" si="16"/>
        <v/>
      </c>
      <c r="M34" s="10" t="str">
        <f t="shared" si="17"/>
        <v/>
      </c>
      <c r="N34" s="10" t="str">
        <f t="shared" si="18"/>
        <v/>
      </c>
      <c r="O34" s="34" t="str">
        <f t="shared" si="9"/>
        <v/>
      </c>
      <c r="P34" s="34" t="str">
        <f t="shared" si="10"/>
        <v/>
      </c>
      <c r="Q34" s="34" t="str">
        <f t="shared" si="11"/>
        <v/>
      </c>
    </row>
    <row r="35" spans="1:17" x14ac:dyDescent="0.25">
      <c r="A35" s="1"/>
      <c r="B35" s="1"/>
      <c r="C35" s="1"/>
      <c r="D35" s="1"/>
      <c r="E35" s="1"/>
      <c r="F35" s="22" t="str">
        <f t="shared" si="12"/>
        <v/>
      </c>
      <c r="G35" s="10" t="str">
        <f t="shared" si="3"/>
        <v/>
      </c>
      <c r="H35" s="29" t="str">
        <f t="shared" si="1"/>
        <v/>
      </c>
      <c r="I35" s="10" t="str">
        <f t="shared" si="13"/>
        <v/>
      </c>
      <c r="J35" s="10" t="str">
        <f t="shared" si="14"/>
        <v/>
      </c>
      <c r="K35" s="10" t="str">
        <f t="shared" si="15"/>
        <v/>
      </c>
      <c r="L35" s="10" t="str">
        <f t="shared" si="16"/>
        <v/>
      </c>
      <c r="M35" s="10" t="str">
        <f t="shared" si="17"/>
        <v/>
      </c>
      <c r="N35" s="10" t="str">
        <f t="shared" si="18"/>
        <v/>
      </c>
      <c r="O35" s="34" t="str">
        <f t="shared" si="9"/>
        <v/>
      </c>
      <c r="P35" s="34" t="str">
        <f t="shared" si="10"/>
        <v/>
      </c>
      <c r="Q35" s="34" t="str">
        <f t="shared" si="11"/>
        <v/>
      </c>
    </row>
    <row r="36" spans="1:17" x14ac:dyDescent="0.25">
      <c r="A36" s="1"/>
      <c r="B36" s="1"/>
      <c r="C36" s="1"/>
      <c r="D36" s="1"/>
      <c r="E36" s="1"/>
      <c r="F36" s="22" t="str">
        <f t="shared" si="12"/>
        <v/>
      </c>
      <c r="G36" s="10" t="str">
        <f t="shared" si="3"/>
        <v/>
      </c>
      <c r="H36" s="29" t="str">
        <f t="shared" ref="H36:H67" si="19">IF(F35&lt;$C$4,$C$9*((1+$C$7)^(F36-1)),"")</f>
        <v/>
      </c>
      <c r="I36" s="10" t="str">
        <f t="shared" si="13"/>
        <v/>
      </c>
      <c r="J36" s="10" t="str">
        <f t="shared" si="14"/>
        <v/>
      </c>
      <c r="K36" s="10" t="str">
        <f t="shared" si="15"/>
        <v/>
      </c>
      <c r="L36" s="10" t="str">
        <f t="shared" si="16"/>
        <v/>
      </c>
      <c r="M36" s="10" t="str">
        <f t="shared" si="17"/>
        <v/>
      </c>
      <c r="N36" s="10" t="str">
        <f t="shared" si="18"/>
        <v/>
      </c>
      <c r="O36" s="34" t="str">
        <f t="shared" si="9"/>
        <v/>
      </c>
      <c r="P36" s="34" t="str">
        <f t="shared" si="10"/>
        <v/>
      </c>
      <c r="Q36" s="34" t="str">
        <f t="shared" si="11"/>
        <v/>
      </c>
    </row>
    <row r="37" spans="1:17" x14ac:dyDescent="0.25">
      <c r="A37" s="1"/>
      <c r="B37" s="1"/>
      <c r="C37" s="1"/>
      <c r="D37" s="1"/>
      <c r="E37" s="1"/>
      <c r="F37" s="22" t="str">
        <f t="shared" si="12"/>
        <v/>
      </c>
      <c r="G37" s="10" t="str">
        <f t="shared" si="3"/>
        <v/>
      </c>
      <c r="H37" s="29" t="str">
        <f t="shared" si="19"/>
        <v/>
      </c>
      <c r="I37" s="10" t="str">
        <f t="shared" si="13"/>
        <v/>
      </c>
      <c r="J37" s="10" t="str">
        <f t="shared" si="14"/>
        <v/>
      </c>
      <c r="K37" s="10" t="str">
        <f t="shared" si="15"/>
        <v/>
      </c>
      <c r="L37" s="10" t="str">
        <f t="shared" si="16"/>
        <v/>
      </c>
      <c r="M37" s="10" t="str">
        <f t="shared" si="17"/>
        <v/>
      </c>
      <c r="N37" s="10" t="str">
        <f t="shared" si="18"/>
        <v/>
      </c>
      <c r="O37" s="34" t="str">
        <f t="shared" si="9"/>
        <v/>
      </c>
      <c r="P37" s="34" t="str">
        <f t="shared" si="10"/>
        <v/>
      </c>
      <c r="Q37" s="34" t="str">
        <f t="shared" si="11"/>
        <v/>
      </c>
    </row>
    <row r="38" spans="1:17" x14ac:dyDescent="0.25">
      <c r="A38" s="1"/>
      <c r="B38" s="1"/>
      <c r="C38" s="1"/>
      <c r="D38" s="1"/>
      <c r="E38" s="1"/>
      <c r="F38" s="22" t="str">
        <f t="shared" si="12"/>
        <v/>
      </c>
      <c r="G38" s="10" t="str">
        <f t="shared" si="3"/>
        <v/>
      </c>
      <c r="H38" s="29" t="str">
        <f t="shared" si="19"/>
        <v/>
      </c>
      <c r="I38" s="10" t="str">
        <f t="shared" si="13"/>
        <v/>
      </c>
      <c r="J38" s="10" t="str">
        <f t="shared" si="14"/>
        <v/>
      </c>
      <c r="K38" s="10" t="str">
        <f t="shared" si="15"/>
        <v/>
      </c>
      <c r="L38" s="10" t="str">
        <f t="shared" si="16"/>
        <v/>
      </c>
      <c r="M38" s="10" t="str">
        <f t="shared" si="17"/>
        <v/>
      </c>
      <c r="N38" s="10" t="str">
        <f t="shared" si="18"/>
        <v/>
      </c>
      <c r="O38" s="34" t="str">
        <f t="shared" si="9"/>
        <v/>
      </c>
      <c r="P38" s="34" t="str">
        <f t="shared" si="10"/>
        <v/>
      </c>
      <c r="Q38" s="34" t="str">
        <f t="shared" si="11"/>
        <v/>
      </c>
    </row>
    <row r="39" spans="1:17" x14ac:dyDescent="0.25">
      <c r="A39" s="1"/>
      <c r="B39" s="1"/>
      <c r="C39" s="1"/>
      <c r="D39" s="1"/>
      <c r="E39" s="1"/>
      <c r="F39" s="22" t="str">
        <f t="shared" si="12"/>
        <v/>
      </c>
      <c r="G39" s="10" t="str">
        <f t="shared" si="3"/>
        <v/>
      </c>
      <c r="H39" s="29" t="str">
        <f t="shared" si="19"/>
        <v/>
      </c>
      <c r="I39" s="10" t="str">
        <f t="shared" si="13"/>
        <v/>
      </c>
      <c r="J39" s="10" t="str">
        <f t="shared" si="14"/>
        <v/>
      </c>
      <c r="K39" s="10" t="str">
        <f t="shared" si="15"/>
        <v/>
      </c>
      <c r="L39" s="10" t="str">
        <f t="shared" si="16"/>
        <v/>
      </c>
      <c r="M39" s="10" t="str">
        <f t="shared" si="17"/>
        <v/>
      </c>
      <c r="N39" s="10" t="str">
        <f t="shared" si="18"/>
        <v/>
      </c>
      <c r="O39" s="34" t="str">
        <f t="shared" si="9"/>
        <v/>
      </c>
      <c r="P39" s="34" t="str">
        <f t="shared" si="10"/>
        <v/>
      </c>
      <c r="Q39" s="34" t="str">
        <f t="shared" si="11"/>
        <v/>
      </c>
    </row>
    <row r="40" spans="1:17" x14ac:dyDescent="0.25">
      <c r="A40" s="1"/>
      <c r="B40" s="1"/>
      <c r="C40" s="1"/>
      <c r="D40" s="1"/>
      <c r="E40" s="1"/>
      <c r="F40" s="22" t="str">
        <f t="shared" si="12"/>
        <v/>
      </c>
      <c r="G40" s="10" t="str">
        <f t="shared" si="3"/>
        <v/>
      </c>
      <c r="H40" s="29" t="str">
        <f t="shared" si="19"/>
        <v/>
      </c>
      <c r="I40" s="10" t="str">
        <f t="shared" si="13"/>
        <v/>
      </c>
      <c r="J40" s="10" t="str">
        <f t="shared" si="14"/>
        <v/>
      </c>
      <c r="K40" s="10" t="str">
        <f t="shared" si="15"/>
        <v/>
      </c>
      <c r="L40" s="10" t="str">
        <f t="shared" si="16"/>
        <v/>
      </c>
      <c r="M40" s="10" t="str">
        <f t="shared" si="17"/>
        <v/>
      </c>
      <c r="N40" s="10" t="str">
        <f t="shared" si="18"/>
        <v/>
      </c>
      <c r="O40" s="34" t="str">
        <f t="shared" si="9"/>
        <v/>
      </c>
      <c r="P40" s="34" t="str">
        <f t="shared" si="10"/>
        <v/>
      </c>
      <c r="Q40" s="34" t="str">
        <f t="shared" si="11"/>
        <v/>
      </c>
    </row>
    <row r="41" spans="1:17" x14ac:dyDescent="0.25">
      <c r="A41" s="1"/>
      <c r="B41" s="1"/>
      <c r="C41" s="1"/>
      <c r="D41" s="1"/>
      <c r="E41" s="1"/>
      <c r="F41" s="22" t="str">
        <f t="shared" si="12"/>
        <v/>
      </c>
      <c r="G41" s="10" t="str">
        <f t="shared" si="3"/>
        <v/>
      </c>
      <c r="H41" s="29" t="str">
        <f t="shared" si="19"/>
        <v/>
      </c>
      <c r="I41" s="10" t="str">
        <f t="shared" si="13"/>
        <v/>
      </c>
      <c r="J41" s="10" t="str">
        <f t="shared" si="14"/>
        <v/>
      </c>
      <c r="K41" s="10" t="str">
        <f t="shared" si="15"/>
        <v/>
      </c>
      <c r="L41" s="10" t="str">
        <f t="shared" si="16"/>
        <v/>
      </c>
      <c r="M41" s="10" t="str">
        <f t="shared" si="17"/>
        <v/>
      </c>
      <c r="N41" s="10" t="str">
        <f t="shared" si="18"/>
        <v/>
      </c>
      <c r="O41" s="34" t="str">
        <f t="shared" si="9"/>
        <v/>
      </c>
      <c r="P41" s="34" t="str">
        <f t="shared" si="10"/>
        <v/>
      </c>
      <c r="Q41" s="34" t="str">
        <f t="shared" si="11"/>
        <v/>
      </c>
    </row>
    <row r="42" spans="1:17" x14ac:dyDescent="0.25">
      <c r="A42" s="1"/>
      <c r="B42" s="1"/>
      <c r="C42" s="1"/>
      <c r="D42" s="1"/>
      <c r="E42" s="1"/>
      <c r="F42" s="22" t="str">
        <f t="shared" si="12"/>
        <v/>
      </c>
      <c r="G42" s="10" t="str">
        <f t="shared" si="3"/>
        <v/>
      </c>
      <c r="H42" s="29" t="str">
        <f t="shared" si="19"/>
        <v/>
      </c>
      <c r="I42" s="10" t="str">
        <f t="shared" si="13"/>
        <v/>
      </c>
      <c r="J42" s="10" t="str">
        <f t="shared" si="14"/>
        <v/>
      </c>
      <c r="K42" s="10" t="str">
        <f t="shared" si="15"/>
        <v/>
      </c>
      <c r="L42" s="10" t="str">
        <f t="shared" si="16"/>
        <v/>
      </c>
      <c r="M42" s="10" t="str">
        <f t="shared" si="17"/>
        <v/>
      </c>
      <c r="N42" s="10" t="str">
        <f t="shared" si="18"/>
        <v/>
      </c>
      <c r="O42" s="34" t="str">
        <f t="shared" si="9"/>
        <v/>
      </c>
      <c r="P42" s="34" t="str">
        <f t="shared" si="10"/>
        <v/>
      </c>
      <c r="Q42" s="34" t="str">
        <f t="shared" si="11"/>
        <v/>
      </c>
    </row>
    <row r="43" spans="1:17" x14ac:dyDescent="0.25">
      <c r="A43" s="1"/>
      <c r="B43" s="1"/>
      <c r="C43" s="1"/>
      <c r="D43" s="1"/>
      <c r="E43" s="1"/>
      <c r="F43" s="22" t="str">
        <f t="shared" si="12"/>
        <v/>
      </c>
      <c r="G43" s="10" t="str">
        <f t="shared" si="3"/>
        <v/>
      </c>
      <c r="H43" s="29" t="str">
        <f t="shared" si="19"/>
        <v/>
      </c>
      <c r="I43" s="10" t="str">
        <f t="shared" si="13"/>
        <v/>
      </c>
      <c r="J43" s="10" t="str">
        <f t="shared" si="14"/>
        <v/>
      </c>
      <c r="K43" s="10" t="str">
        <f t="shared" si="15"/>
        <v/>
      </c>
      <c r="L43" s="10" t="str">
        <f t="shared" si="16"/>
        <v/>
      </c>
      <c r="M43" s="10" t="str">
        <f t="shared" si="17"/>
        <v/>
      </c>
      <c r="N43" s="10" t="str">
        <f t="shared" si="18"/>
        <v/>
      </c>
      <c r="O43" s="34" t="str">
        <f t="shared" si="9"/>
        <v/>
      </c>
      <c r="P43" s="34" t="str">
        <f t="shared" si="10"/>
        <v/>
      </c>
      <c r="Q43" s="34" t="str">
        <f t="shared" si="11"/>
        <v/>
      </c>
    </row>
    <row r="44" spans="1:17" x14ac:dyDescent="0.25">
      <c r="A44" s="1"/>
      <c r="B44" s="1"/>
      <c r="C44" s="1"/>
      <c r="D44" s="1"/>
      <c r="E44" s="1"/>
      <c r="F44" s="22" t="str">
        <f t="shared" si="12"/>
        <v/>
      </c>
      <c r="G44" s="10" t="str">
        <f t="shared" si="3"/>
        <v/>
      </c>
      <c r="H44" s="29" t="str">
        <f t="shared" si="19"/>
        <v/>
      </c>
      <c r="I44" s="10" t="str">
        <f t="shared" si="13"/>
        <v/>
      </c>
      <c r="J44" s="10" t="str">
        <f t="shared" si="14"/>
        <v/>
      </c>
      <c r="K44" s="10" t="str">
        <f t="shared" si="15"/>
        <v/>
      </c>
      <c r="L44" s="10" t="str">
        <f t="shared" si="16"/>
        <v/>
      </c>
      <c r="M44" s="10" t="str">
        <f t="shared" si="17"/>
        <v/>
      </c>
      <c r="N44" s="10" t="str">
        <f t="shared" si="18"/>
        <v/>
      </c>
      <c r="O44" s="34" t="str">
        <f t="shared" si="9"/>
        <v/>
      </c>
      <c r="P44" s="34" t="str">
        <f t="shared" si="10"/>
        <v/>
      </c>
      <c r="Q44" s="34" t="str">
        <f t="shared" si="11"/>
        <v/>
      </c>
    </row>
    <row r="45" spans="1:17" x14ac:dyDescent="0.25">
      <c r="A45" s="1"/>
      <c r="B45" s="1"/>
      <c r="C45" s="1"/>
      <c r="D45" s="1"/>
      <c r="E45" s="1"/>
      <c r="F45" s="22" t="str">
        <f t="shared" si="12"/>
        <v/>
      </c>
      <c r="G45" s="10" t="str">
        <f t="shared" si="3"/>
        <v/>
      </c>
      <c r="H45" s="29" t="str">
        <f t="shared" si="19"/>
        <v/>
      </c>
      <c r="I45" s="10" t="str">
        <f t="shared" si="13"/>
        <v/>
      </c>
      <c r="J45" s="10" t="str">
        <f t="shared" si="14"/>
        <v/>
      </c>
      <c r="K45" s="10" t="str">
        <f t="shared" si="15"/>
        <v/>
      </c>
      <c r="L45" s="10" t="str">
        <f t="shared" si="16"/>
        <v/>
      </c>
      <c r="M45" s="10" t="str">
        <f t="shared" si="17"/>
        <v/>
      </c>
      <c r="N45" s="10" t="str">
        <f t="shared" si="18"/>
        <v/>
      </c>
      <c r="O45" s="34" t="str">
        <f t="shared" si="9"/>
        <v/>
      </c>
      <c r="P45" s="34" t="str">
        <f t="shared" si="10"/>
        <v/>
      </c>
      <c r="Q45" s="34" t="str">
        <f t="shared" si="11"/>
        <v/>
      </c>
    </row>
    <row r="46" spans="1:17" x14ac:dyDescent="0.25">
      <c r="A46" s="1"/>
      <c r="B46" s="1"/>
      <c r="C46" s="1"/>
      <c r="D46" s="1"/>
      <c r="E46" s="1"/>
      <c r="F46" s="22" t="str">
        <f t="shared" si="12"/>
        <v/>
      </c>
      <c r="G46" s="10" t="str">
        <f t="shared" si="3"/>
        <v/>
      </c>
      <c r="H46" s="29" t="str">
        <f t="shared" si="19"/>
        <v/>
      </c>
      <c r="I46" s="10" t="str">
        <f t="shared" si="13"/>
        <v/>
      </c>
      <c r="J46" s="10" t="str">
        <f t="shared" si="14"/>
        <v/>
      </c>
      <c r="K46" s="10" t="str">
        <f t="shared" si="15"/>
        <v/>
      </c>
      <c r="L46" s="10" t="str">
        <f t="shared" si="16"/>
        <v/>
      </c>
      <c r="M46" s="10" t="str">
        <f t="shared" si="17"/>
        <v/>
      </c>
      <c r="N46" s="10" t="str">
        <f t="shared" si="18"/>
        <v/>
      </c>
      <c r="O46" s="34" t="str">
        <f t="shared" si="9"/>
        <v/>
      </c>
      <c r="P46" s="34" t="str">
        <f t="shared" si="10"/>
        <v/>
      </c>
      <c r="Q46" s="34" t="str">
        <f t="shared" si="11"/>
        <v/>
      </c>
    </row>
    <row r="47" spans="1:17" x14ac:dyDescent="0.25">
      <c r="A47" s="1"/>
      <c r="B47" s="1"/>
      <c r="C47" s="1"/>
      <c r="D47" s="1"/>
      <c r="E47" s="1"/>
      <c r="F47" s="22" t="str">
        <f t="shared" si="12"/>
        <v/>
      </c>
      <c r="G47" s="10" t="str">
        <f t="shared" si="3"/>
        <v/>
      </c>
      <c r="H47" s="29" t="str">
        <f t="shared" si="19"/>
        <v/>
      </c>
      <c r="I47" s="10" t="str">
        <f t="shared" si="13"/>
        <v/>
      </c>
      <c r="J47" s="10" t="str">
        <f t="shared" si="14"/>
        <v/>
      </c>
      <c r="K47" s="10" t="str">
        <f t="shared" si="15"/>
        <v/>
      </c>
      <c r="L47" s="10" t="str">
        <f t="shared" si="16"/>
        <v/>
      </c>
      <c r="M47" s="10" t="str">
        <f t="shared" si="17"/>
        <v/>
      </c>
      <c r="N47" s="10" t="str">
        <f t="shared" si="18"/>
        <v/>
      </c>
      <c r="O47" s="34" t="str">
        <f t="shared" si="9"/>
        <v/>
      </c>
      <c r="P47" s="34" t="str">
        <f t="shared" si="10"/>
        <v/>
      </c>
      <c r="Q47" s="34" t="str">
        <f t="shared" si="11"/>
        <v/>
      </c>
    </row>
    <row r="48" spans="1:17" x14ac:dyDescent="0.25">
      <c r="A48" s="1"/>
      <c r="B48" s="1"/>
      <c r="C48" s="1"/>
      <c r="D48" s="1"/>
      <c r="E48" s="1"/>
      <c r="F48" s="22" t="str">
        <f t="shared" si="12"/>
        <v/>
      </c>
      <c r="G48" s="10" t="str">
        <f t="shared" si="3"/>
        <v/>
      </c>
      <c r="H48" s="29" t="str">
        <f t="shared" si="19"/>
        <v/>
      </c>
      <c r="I48" s="10" t="str">
        <f t="shared" si="13"/>
        <v/>
      </c>
      <c r="J48" s="10" t="str">
        <f t="shared" si="14"/>
        <v/>
      </c>
      <c r="K48" s="10" t="str">
        <f t="shared" si="15"/>
        <v/>
      </c>
      <c r="L48" s="10" t="str">
        <f t="shared" si="16"/>
        <v/>
      </c>
      <c r="M48" s="10" t="str">
        <f t="shared" si="17"/>
        <v/>
      </c>
      <c r="N48" s="10" t="str">
        <f t="shared" si="18"/>
        <v/>
      </c>
      <c r="O48" s="34" t="str">
        <f t="shared" si="9"/>
        <v/>
      </c>
      <c r="P48" s="34" t="str">
        <f t="shared" si="10"/>
        <v/>
      </c>
      <c r="Q48" s="34" t="str">
        <f t="shared" si="11"/>
        <v/>
      </c>
    </row>
    <row r="49" spans="1:17" x14ac:dyDescent="0.25">
      <c r="A49" s="1"/>
      <c r="B49" s="1"/>
      <c r="C49" s="1"/>
      <c r="D49" s="1"/>
      <c r="E49" s="1"/>
      <c r="F49" s="22" t="str">
        <f t="shared" si="12"/>
        <v/>
      </c>
      <c r="G49" s="10" t="str">
        <f t="shared" si="3"/>
        <v/>
      </c>
      <c r="H49" s="29" t="str">
        <f t="shared" si="19"/>
        <v/>
      </c>
      <c r="I49" s="10" t="str">
        <f t="shared" si="13"/>
        <v/>
      </c>
      <c r="J49" s="10" t="str">
        <f t="shared" si="14"/>
        <v/>
      </c>
      <c r="K49" s="10" t="str">
        <f t="shared" si="15"/>
        <v/>
      </c>
      <c r="L49" s="10" t="str">
        <f t="shared" si="16"/>
        <v/>
      </c>
      <c r="M49" s="10" t="str">
        <f t="shared" si="17"/>
        <v/>
      </c>
      <c r="N49" s="10" t="str">
        <f t="shared" si="18"/>
        <v/>
      </c>
      <c r="O49" s="34" t="str">
        <f t="shared" si="9"/>
        <v/>
      </c>
      <c r="P49" s="34" t="str">
        <f t="shared" si="10"/>
        <v/>
      </c>
      <c r="Q49" s="34" t="str">
        <f t="shared" si="11"/>
        <v/>
      </c>
    </row>
    <row r="50" spans="1:17" x14ac:dyDescent="0.25">
      <c r="A50" s="1"/>
      <c r="B50" s="1"/>
      <c r="C50" s="1"/>
      <c r="D50" s="1"/>
      <c r="E50" s="1"/>
      <c r="F50" s="22" t="str">
        <f t="shared" si="12"/>
        <v/>
      </c>
      <c r="G50" s="10" t="str">
        <f t="shared" si="3"/>
        <v/>
      </c>
      <c r="H50" s="29" t="str">
        <f t="shared" si="19"/>
        <v/>
      </c>
      <c r="I50" s="10" t="str">
        <f t="shared" si="13"/>
        <v/>
      </c>
      <c r="J50" s="10" t="str">
        <f t="shared" si="14"/>
        <v/>
      </c>
      <c r="K50" s="10" t="str">
        <f t="shared" si="15"/>
        <v/>
      </c>
      <c r="L50" s="10" t="str">
        <f t="shared" si="16"/>
        <v/>
      </c>
      <c r="M50" s="10" t="str">
        <f t="shared" si="17"/>
        <v/>
      </c>
      <c r="N50" s="10" t="str">
        <f t="shared" si="18"/>
        <v/>
      </c>
      <c r="O50" s="34" t="str">
        <f t="shared" si="9"/>
        <v/>
      </c>
      <c r="P50" s="34" t="str">
        <f t="shared" si="10"/>
        <v/>
      </c>
      <c r="Q50" s="34" t="str">
        <f t="shared" si="11"/>
        <v/>
      </c>
    </row>
    <row r="51" spans="1:17" x14ac:dyDescent="0.25">
      <c r="A51" s="1"/>
      <c r="B51" s="1"/>
      <c r="C51" s="1"/>
      <c r="D51" s="1"/>
      <c r="E51" s="1"/>
      <c r="F51" s="22" t="str">
        <f t="shared" si="12"/>
        <v/>
      </c>
      <c r="G51" s="10" t="str">
        <f t="shared" si="3"/>
        <v/>
      </c>
      <c r="H51" s="29" t="str">
        <f t="shared" si="19"/>
        <v/>
      </c>
      <c r="I51" s="10" t="str">
        <f t="shared" si="13"/>
        <v/>
      </c>
      <c r="J51" s="10" t="str">
        <f t="shared" si="14"/>
        <v/>
      </c>
      <c r="K51" s="10" t="str">
        <f t="shared" si="15"/>
        <v/>
      </c>
      <c r="L51" s="10" t="str">
        <f t="shared" si="16"/>
        <v/>
      </c>
      <c r="M51" s="10" t="str">
        <f t="shared" si="17"/>
        <v/>
      </c>
      <c r="N51" s="10" t="str">
        <f t="shared" si="18"/>
        <v/>
      </c>
      <c r="O51" s="34" t="str">
        <f t="shared" si="9"/>
        <v/>
      </c>
      <c r="P51" s="34" t="str">
        <f t="shared" si="10"/>
        <v/>
      </c>
      <c r="Q51" s="34" t="str">
        <f t="shared" si="11"/>
        <v/>
      </c>
    </row>
    <row r="52" spans="1:17" x14ac:dyDescent="0.25">
      <c r="A52" s="1"/>
      <c r="B52" s="1"/>
      <c r="C52" s="1"/>
      <c r="D52" s="1"/>
      <c r="E52" s="1"/>
      <c r="F52" s="22" t="str">
        <f t="shared" si="12"/>
        <v/>
      </c>
      <c r="G52" s="10" t="str">
        <f t="shared" si="3"/>
        <v/>
      </c>
      <c r="H52" s="29" t="str">
        <f t="shared" si="19"/>
        <v/>
      </c>
      <c r="I52" s="10" t="str">
        <f t="shared" si="13"/>
        <v/>
      </c>
      <c r="J52" s="10" t="str">
        <f t="shared" si="14"/>
        <v/>
      </c>
      <c r="K52" s="10" t="str">
        <f t="shared" si="15"/>
        <v/>
      </c>
      <c r="L52" s="10" t="str">
        <f t="shared" si="16"/>
        <v/>
      </c>
      <c r="M52" s="10" t="str">
        <f t="shared" si="17"/>
        <v/>
      </c>
      <c r="N52" s="10" t="str">
        <f t="shared" si="18"/>
        <v/>
      </c>
      <c r="O52" s="34" t="str">
        <f t="shared" si="9"/>
        <v/>
      </c>
      <c r="P52" s="34" t="str">
        <f t="shared" si="10"/>
        <v/>
      </c>
      <c r="Q52" s="34" t="str">
        <f t="shared" si="11"/>
        <v/>
      </c>
    </row>
    <row r="53" spans="1:17" x14ac:dyDescent="0.25">
      <c r="A53" s="1"/>
      <c r="B53" s="1"/>
      <c r="C53" s="1"/>
      <c r="D53" s="1"/>
      <c r="E53" s="1"/>
      <c r="F53" s="22" t="str">
        <f t="shared" si="12"/>
        <v/>
      </c>
      <c r="G53" s="10" t="str">
        <f t="shared" si="3"/>
        <v/>
      </c>
      <c r="H53" s="29" t="str">
        <f t="shared" si="19"/>
        <v/>
      </c>
      <c r="I53" s="10" t="str">
        <f t="shared" si="13"/>
        <v/>
      </c>
      <c r="J53" s="10" t="str">
        <f t="shared" si="14"/>
        <v/>
      </c>
      <c r="K53" s="10" t="str">
        <f t="shared" si="15"/>
        <v/>
      </c>
      <c r="L53" s="10" t="str">
        <f t="shared" si="16"/>
        <v/>
      </c>
      <c r="M53" s="10" t="str">
        <f t="shared" si="17"/>
        <v/>
      </c>
      <c r="N53" s="10" t="str">
        <f t="shared" si="18"/>
        <v/>
      </c>
      <c r="O53" s="34" t="str">
        <f t="shared" si="9"/>
        <v/>
      </c>
      <c r="P53" s="34" t="str">
        <f t="shared" si="10"/>
        <v/>
      </c>
      <c r="Q53" s="34" t="str">
        <f t="shared" si="11"/>
        <v/>
      </c>
    </row>
    <row r="54" spans="1:17" x14ac:dyDescent="0.25">
      <c r="A54" s="1"/>
      <c r="B54" s="1"/>
      <c r="C54" s="1"/>
      <c r="D54" s="1"/>
      <c r="E54" s="1"/>
      <c r="F54" s="22" t="str">
        <f t="shared" si="12"/>
        <v/>
      </c>
      <c r="G54" s="10" t="str">
        <f t="shared" si="3"/>
        <v/>
      </c>
      <c r="H54" s="29" t="str">
        <f t="shared" si="19"/>
        <v/>
      </c>
      <c r="I54" s="10" t="str">
        <f t="shared" si="13"/>
        <v/>
      </c>
      <c r="J54" s="10" t="str">
        <f t="shared" si="14"/>
        <v/>
      </c>
      <c r="K54" s="10" t="str">
        <f t="shared" si="15"/>
        <v/>
      </c>
      <c r="L54" s="10" t="str">
        <f t="shared" si="16"/>
        <v/>
      </c>
      <c r="M54" s="10" t="str">
        <f t="shared" si="17"/>
        <v/>
      </c>
      <c r="N54" s="10" t="str">
        <f t="shared" si="18"/>
        <v/>
      </c>
      <c r="O54" s="34" t="str">
        <f t="shared" si="9"/>
        <v/>
      </c>
      <c r="P54" s="34" t="str">
        <f t="shared" si="10"/>
        <v/>
      </c>
      <c r="Q54" s="34" t="str">
        <f t="shared" si="11"/>
        <v/>
      </c>
    </row>
    <row r="55" spans="1:17" x14ac:dyDescent="0.25">
      <c r="A55" s="1"/>
      <c r="B55" s="1"/>
      <c r="C55" s="1"/>
      <c r="D55" s="1"/>
      <c r="E55" s="1"/>
      <c r="F55" s="22" t="str">
        <f t="shared" si="12"/>
        <v/>
      </c>
      <c r="G55" s="10" t="str">
        <f t="shared" si="3"/>
        <v/>
      </c>
      <c r="H55" s="29" t="str">
        <f t="shared" si="19"/>
        <v/>
      </c>
      <c r="I55" s="10" t="str">
        <f t="shared" si="13"/>
        <v/>
      </c>
      <c r="J55" s="10" t="str">
        <f t="shared" si="14"/>
        <v/>
      </c>
      <c r="K55" s="10" t="str">
        <f t="shared" si="15"/>
        <v/>
      </c>
      <c r="L55" s="10" t="str">
        <f t="shared" si="16"/>
        <v/>
      </c>
      <c r="M55" s="10" t="str">
        <f t="shared" si="17"/>
        <v/>
      </c>
      <c r="N55" s="10" t="str">
        <f t="shared" si="18"/>
        <v/>
      </c>
      <c r="O55" s="34" t="str">
        <f t="shared" si="9"/>
        <v/>
      </c>
      <c r="P55" s="34" t="str">
        <f t="shared" si="10"/>
        <v/>
      </c>
      <c r="Q55" s="34" t="str">
        <f t="shared" si="11"/>
        <v/>
      </c>
    </row>
    <row r="56" spans="1:17" x14ac:dyDescent="0.25">
      <c r="A56" s="1"/>
      <c r="B56" s="1"/>
      <c r="C56" s="1"/>
      <c r="D56" s="1"/>
      <c r="E56" s="1"/>
      <c r="F56" s="22" t="str">
        <f t="shared" si="12"/>
        <v/>
      </c>
      <c r="G56" s="10" t="str">
        <f t="shared" si="3"/>
        <v/>
      </c>
      <c r="H56" s="29" t="str">
        <f t="shared" si="19"/>
        <v/>
      </c>
      <c r="I56" s="10" t="str">
        <f t="shared" si="13"/>
        <v/>
      </c>
      <c r="J56" s="10" t="str">
        <f t="shared" si="14"/>
        <v/>
      </c>
      <c r="K56" s="10" t="str">
        <f t="shared" si="15"/>
        <v/>
      </c>
      <c r="L56" s="10" t="str">
        <f t="shared" si="16"/>
        <v/>
      </c>
      <c r="M56" s="10" t="str">
        <f t="shared" si="17"/>
        <v/>
      </c>
      <c r="N56" s="10" t="str">
        <f t="shared" si="18"/>
        <v/>
      </c>
      <c r="O56" s="34" t="str">
        <f t="shared" si="9"/>
        <v/>
      </c>
      <c r="P56" s="34" t="str">
        <f t="shared" si="10"/>
        <v/>
      </c>
      <c r="Q56" s="34" t="str">
        <f t="shared" si="11"/>
        <v/>
      </c>
    </row>
    <row r="57" spans="1:17" x14ac:dyDescent="0.25">
      <c r="A57" s="1"/>
      <c r="B57" s="1"/>
      <c r="C57" s="1"/>
      <c r="D57" s="1"/>
      <c r="E57" s="1"/>
      <c r="F57" s="22" t="str">
        <f t="shared" si="12"/>
        <v/>
      </c>
      <c r="G57" s="10" t="str">
        <f t="shared" si="3"/>
        <v/>
      </c>
      <c r="H57" s="29" t="str">
        <f t="shared" si="19"/>
        <v/>
      </c>
      <c r="I57" s="10" t="str">
        <f t="shared" si="13"/>
        <v/>
      </c>
      <c r="J57" s="10" t="str">
        <f t="shared" si="14"/>
        <v/>
      </c>
      <c r="K57" s="10" t="str">
        <f t="shared" si="15"/>
        <v/>
      </c>
      <c r="L57" s="10" t="str">
        <f t="shared" si="16"/>
        <v/>
      </c>
      <c r="M57" s="10" t="str">
        <f t="shared" si="17"/>
        <v/>
      </c>
      <c r="N57" s="10" t="str">
        <f t="shared" si="18"/>
        <v/>
      </c>
      <c r="O57" s="34" t="str">
        <f t="shared" si="9"/>
        <v/>
      </c>
      <c r="P57" s="34" t="str">
        <f t="shared" si="10"/>
        <v/>
      </c>
      <c r="Q57" s="34" t="str">
        <f t="shared" si="11"/>
        <v/>
      </c>
    </row>
    <row r="58" spans="1:17" x14ac:dyDescent="0.25">
      <c r="A58" s="1"/>
      <c r="B58" s="1"/>
      <c r="C58" s="1"/>
      <c r="D58" s="1"/>
      <c r="E58" s="1"/>
      <c r="F58" s="22" t="str">
        <f t="shared" si="12"/>
        <v/>
      </c>
      <c r="G58" s="10" t="str">
        <f t="shared" si="3"/>
        <v/>
      </c>
      <c r="H58" s="29" t="str">
        <f t="shared" si="19"/>
        <v/>
      </c>
      <c r="I58" s="10" t="str">
        <f t="shared" si="13"/>
        <v/>
      </c>
      <c r="J58" s="10" t="str">
        <f t="shared" si="14"/>
        <v/>
      </c>
      <c r="K58" s="10" t="str">
        <f t="shared" si="15"/>
        <v/>
      </c>
      <c r="L58" s="10" t="str">
        <f t="shared" si="16"/>
        <v/>
      </c>
      <c r="M58" s="10" t="str">
        <f t="shared" si="17"/>
        <v/>
      </c>
      <c r="N58" s="10" t="str">
        <f t="shared" si="18"/>
        <v/>
      </c>
      <c r="O58" s="34" t="str">
        <f t="shared" si="9"/>
        <v/>
      </c>
      <c r="P58" s="34" t="str">
        <f t="shared" si="10"/>
        <v/>
      </c>
      <c r="Q58" s="34" t="str">
        <f t="shared" si="11"/>
        <v/>
      </c>
    </row>
    <row r="59" spans="1:17" x14ac:dyDescent="0.25">
      <c r="A59" s="1"/>
      <c r="B59" s="1"/>
      <c r="C59" s="1"/>
      <c r="D59" s="1"/>
      <c r="E59" s="1"/>
      <c r="F59" s="22" t="str">
        <f t="shared" si="12"/>
        <v/>
      </c>
      <c r="G59" s="10" t="str">
        <f t="shared" si="3"/>
        <v/>
      </c>
      <c r="H59" s="29" t="str">
        <f t="shared" si="19"/>
        <v/>
      </c>
      <c r="I59" s="10" t="str">
        <f t="shared" si="13"/>
        <v/>
      </c>
      <c r="J59" s="10" t="str">
        <f t="shared" si="14"/>
        <v/>
      </c>
      <c r="K59" s="10" t="str">
        <f t="shared" si="15"/>
        <v/>
      </c>
      <c r="L59" s="10" t="str">
        <f t="shared" si="16"/>
        <v/>
      </c>
      <c r="M59" s="10" t="str">
        <f t="shared" si="17"/>
        <v/>
      </c>
      <c r="N59" s="10" t="str">
        <f t="shared" si="18"/>
        <v/>
      </c>
      <c r="O59" s="34" t="str">
        <f t="shared" si="9"/>
        <v/>
      </c>
      <c r="P59" s="34" t="str">
        <f t="shared" si="10"/>
        <v/>
      </c>
      <c r="Q59" s="34" t="str">
        <f t="shared" si="11"/>
        <v/>
      </c>
    </row>
    <row r="60" spans="1:17" x14ac:dyDescent="0.25">
      <c r="A60" s="1"/>
      <c r="B60" s="1"/>
      <c r="C60" s="1"/>
      <c r="D60" s="1"/>
      <c r="E60" s="1"/>
      <c r="F60" s="22" t="str">
        <f t="shared" si="12"/>
        <v/>
      </c>
      <c r="G60" s="10" t="str">
        <f t="shared" si="3"/>
        <v/>
      </c>
      <c r="H60" s="29" t="str">
        <f t="shared" si="19"/>
        <v/>
      </c>
      <c r="I60" s="10" t="str">
        <f t="shared" si="13"/>
        <v/>
      </c>
      <c r="J60" s="10" t="str">
        <f t="shared" si="14"/>
        <v/>
      </c>
      <c r="K60" s="10" t="str">
        <f t="shared" si="15"/>
        <v/>
      </c>
      <c r="L60" s="10" t="str">
        <f t="shared" si="16"/>
        <v/>
      </c>
      <c r="M60" s="10" t="str">
        <f t="shared" si="17"/>
        <v/>
      </c>
      <c r="N60" s="10" t="str">
        <f t="shared" si="18"/>
        <v/>
      </c>
      <c r="O60" s="34" t="str">
        <f t="shared" si="9"/>
        <v/>
      </c>
      <c r="P60" s="34" t="str">
        <f t="shared" si="10"/>
        <v/>
      </c>
      <c r="Q60" s="34" t="str">
        <f t="shared" si="11"/>
        <v/>
      </c>
    </row>
    <row r="61" spans="1:17" x14ac:dyDescent="0.25">
      <c r="A61" s="1"/>
      <c r="B61" s="1"/>
      <c r="C61" s="1"/>
      <c r="D61" s="1"/>
      <c r="E61" s="1"/>
      <c r="F61" s="22" t="str">
        <f t="shared" si="12"/>
        <v/>
      </c>
      <c r="G61" s="10" t="str">
        <f t="shared" si="3"/>
        <v/>
      </c>
      <c r="H61" s="29" t="str">
        <f t="shared" si="19"/>
        <v/>
      </c>
      <c r="I61" s="10" t="str">
        <f t="shared" si="13"/>
        <v/>
      </c>
      <c r="J61" s="10" t="str">
        <f t="shared" si="14"/>
        <v/>
      </c>
      <c r="K61" s="10" t="str">
        <f t="shared" si="15"/>
        <v/>
      </c>
      <c r="L61" s="10" t="str">
        <f t="shared" si="16"/>
        <v/>
      </c>
      <c r="M61" s="10" t="str">
        <f t="shared" si="17"/>
        <v/>
      </c>
      <c r="N61" s="10" t="str">
        <f t="shared" si="18"/>
        <v/>
      </c>
      <c r="O61" s="34" t="str">
        <f t="shared" si="9"/>
        <v/>
      </c>
      <c r="P61" s="34" t="str">
        <f t="shared" si="10"/>
        <v/>
      </c>
      <c r="Q61" s="34" t="str">
        <f t="shared" si="11"/>
        <v/>
      </c>
    </row>
    <row r="62" spans="1:17" x14ac:dyDescent="0.25">
      <c r="A62" s="1"/>
      <c r="B62" s="1"/>
      <c r="C62" s="1"/>
      <c r="D62" s="1"/>
      <c r="E62" s="1"/>
      <c r="F62" s="22" t="str">
        <f t="shared" si="12"/>
        <v/>
      </c>
      <c r="G62" s="10" t="str">
        <f t="shared" si="3"/>
        <v/>
      </c>
      <c r="H62" s="29" t="str">
        <f t="shared" si="19"/>
        <v/>
      </c>
      <c r="I62" s="10" t="str">
        <f t="shared" si="13"/>
        <v/>
      </c>
      <c r="J62" s="10" t="str">
        <f t="shared" si="14"/>
        <v/>
      </c>
      <c r="K62" s="10" t="str">
        <f t="shared" si="15"/>
        <v/>
      </c>
      <c r="L62" s="10" t="str">
        <f t="shared" si="16"/>
        <v/>
      </c>
      <c r="M62" s="10" t="str">
        <f t="shared" si="17"/>
        <v/>
      </c>
      <c r="N62" s="10" t="str">
        <f t="shared" si="18"/>
        <v/>
      </c>
      <c r="O62" s="34" t="str">
        <f t="shared" si="9"/>
        <v/>
      </c>
      <c r="P62" s="34" t="str">
        <f t="shared" si="10"/>
        <v/>
      </c>
      <c r="Q62" s="34" t="str">
        <f t="shared" si="11"/>
        <v/>
      </c>
    </row>
    <row r="63" spans="1:17" x14ac:dyDescent="0.25">
      <c r="A63" s="1"/>
      <c r="B63" s="1"/>
      <c r="C63" s="1"/>
      <c r="D63" s="1"/>
      <c r="E63" s="1"/>
      <c r="F63" s="22" t="str">
        <f t="shared" si="12"/>
        <v/>
      </c>
      <c r="G63" s="10" t="str">
        <f t="shared" si="3"/>
        <v/>
      </c>
      <c r="H63" s="29" t="str">
        <f t="shared" si="19"/>
        <v/>
      </c>
      <c r="I63" s="10" t="str">
        <f t="shared" si="13"/>
        <v/>
      </c>
      <c r="J63" s="10" t="str">
        <f t="shared" si="14"/>
        <v/>
      </c>
      <c r="K63" s="10" t="str">
        <f t="shared" si="15"/>
        <v/>
      </c>
      <c r="L63" s="10" t="str">
        <f t="shared" si="16"/>
        <v/>
      </c>
      <c r="M63" s="10" t="str">
        <f t="shared" si="17"/>
        <v/>
      </c>
      <c r="N63" s="10" t="str">
        <f t="shared" si="18"/>
        <v/>
      </c>
      <c r="O63" s="34" t="str">
        <f t="shared" si="9"/>
        <v/>
      </c>
      <c r="P63" s="34" t="str">
        <f t="shared" si="10"/>
        <v/>
      </c>
      <c r="Q63" s="34" t="str">
        <f t="shared" si="11"/>
        <v/>
      </c>
    </row>
    <row r="64" spans="1:17" x14ac:dyDescent="0.25">
      <c r="A64" s="1"/>
      <c r="B64" s="1"/>
      <c r="C64" s="1"/>
      <c r="D64" s="1"/>
      <c r="E64" s="1"/>
      <c r="F64" s="22" t="str">
        <f t="shared" si="12"/>
        <v/>
      </c>
      <c r="G64" s="10" t="str">
        <f t="shared" si="3"/>
        <v/>
      </c>
      <c r="H64" s="29" t="str">
        <f t="shared" si="19"/>
        <v/>
      </c>
      <c r="I64" s="10" t="str">
        <f t="shared" si="13"/>
        <v/>
      </c>
      <c r="J64" s="10" t="str">
        <f t="shared" si="14"/>
        <v/>
      </c>
      <c r="K64" s="10" t="str">
        <f t="shared" si="15"/>
        <v/>
      </c>
      <c r="L64" s="10" t="str">
        <f t="shared" si="16"/>
        <v/>
      </c>
      <c r="M64" s="10" t="str">
        <f t="shared" si="17"/>
        <v/>
      </c>
      <c r="N64" s="10" t="str">
        <f t="shared" si="18"/>
        <v/>
      </c>
      <c r="O64" s="34" t="str">
        <f t="shared" si="9"/>
        <v/>
      </c>
      <c r="P64" s="34" t="str">
        <f t="shared" si="10"/>
        <v/>
      </c>
      <c r="Q64" s="34" t="str">
        <f t="shared" si="11"/>
        <v/>
      </c>
    </row>
    <row r="65" spans="1:17" x14ac:dyDescent="0.25">
      <c r="A65" s="1"/>
      <c r="B65" s="1"/>
      <c r="C65" s="1"/>
      <c r="D65" s="1"/>
      <c r="E65" s="1"/>
      <c r="F65" s="22" t="str">
        <f t="shared" si="12"/>
        <v/>
      </c>
      <c r="G65" s="10" t="str">
        <f t="shared" si="3"/>
        <v/>
      </c>
      <c r="H65" s="29" t="str">
        <f t="shared" si="19"/>
        <v/>
      </c>
      <c r="I65" s="10" t="str">
        <f t="shared" si="13"/>
        <v/>
      </c>
      <c r="J65" s="10" t="str">
        <f t="shared" si="14"/>
        <v/>
      </c>
      <c r="K65" s="10" t="str">
        <f t="shared" si="15"/>
        <v/>
      </c>
      <c r="L65" s="10" t="str">
        <f t="shared" si="16"/>
        <v/>
      </c>
      <c r="M65" s="10" t="str">
        <f t="shared" si="17"/>
        <v/>
      </c>
      <c r="N65" s="10" t="str">
        <f t="shared" si="18"/>
        <v/>
      </c>
      <c r="O65" s="34" t="str">
        <f t="shared" si="9"/>
        <v/>
      </c>
      <c r="P65" s="34" t="str">
        <f t="shared" si="10"/>
        <v/>
      </c>
      <c r="Q65" s="34" t="str">
        <f t="shared" si="11"/>
        <v/>
      </c>
    </row>
    <row r="66" spans="1:17" x14ac:dyDescent="0.25">
      <c r="A66" s="1"/>
      <c r="B66" s="1"/>
      <c r="C66" s="1"/>
      <c r="D66" s="1"/>
      <c r="E66" s="1"/>
      <c r="F66" s="22" t="str">
        <f t="shared" si="12"/>
        <v/>
      </c>
      <c r="G66" s="10" t="str">
        <f t="shared" si="3"/>
        <v/>
      </c>
      <c r="H66" s="29" t="str">
        <f t="shared" si="19"/>
        <v/>
      </c>
      <c r="I66" s="10" t="str">
        <f t="shared" si="13"/>
        <v/>
      </c>
      <c r="J66" s="10" t="str">
        <f t="shared" si="14"/>
        <v/>
      </c>
      <c r="K66" s="10" t="str">
        <f t="shared" si="15"/>
        <v/>
      </c>
      <c r="L66" s="10" t="str">
        <f t="shared" si="16"/>
        <v/>
      </c>
      <c r="M66" s="10" t="str">
        <f t="shared" si="17"/>
        <v/>
      </c>
      <c r="N66" s="10" t="str">
        <f t="shared" si="18"/>
        <v/>
      </c>
      <c r="O66" s="34" t="str">
        <f t="shared" si="9"/>
        <v/>
      </c>
      <c r="P66" s="34" t="str">
        <f t="shared" si="10"/>
        <v/>
      </c>
      <c r="Q66" s="34" t="str">
        <f t="shared" si="11"/>
        <v/>
      </c>
    </row>
    <row r="67" spans="1:17" x14ac:dyDescent="0.25">
      <c r="A67" s="1"/>
      <c r="B67" s="1"/>
      <c r="C67" s="1"/>
      <c r="D67" s="1"/>
      <c r="E67" s="1"/>
      <c r="F67" s="22" t="str">
        <f t="shared" si="12"/>
        <v/>
      </c>
      <c r="G67" s="10" t="str">
        <f t="shared" si="3"/>
        <v/>
      </c>
      <c r="H67" s="29" t="str">
        <f t="shared" si="19"/>
        <v/>
      </c>
      <c r="I67" s="10" t="str">
        <f t="shared" si="13"/>
        <v/>
      </c>
      <c r="J67" s="10" t="str">
        <f t="shared" si="14"/>
        <v/>
      </c>
      <c r="K67" s="10" t="str">
        <f t="shared" si="15"/>
        <v/>
      </c>
      <c r="L67" s="10" t="str">
        <f t="shared" si="16"/>
        <v/>
      </c>
      <c r="M67" s="10" t="str">
        <f t="shared" si="17"/>
        <v/>
      </c>
      <c r="N67" s="10" t="str">
        <f t="shared" si="18"/>
        <v/>
      </c>
      <c r="O67" s="34" t="str">
        <f t="shared" si="9"/>
        <v/>
      </c>
      <c r="P67" s="34" t="str">
        <f t="shared" si="10"/>
        <v/>
      </c>
      <c r="Q67" s="34" t="str">
        <f t="shared" si="11"/>
        <v/>
      </c>
    </row>
    <row r="68" spans="1:17" x14ac:dyDescent="0.25">
      <c r="A68" s="1"/>
      <c r="B68" s="1"/>
      <c r="C68" s="1"/>
      <c r="D68" s="1"/>
      <c r="E68" s="1"/>
      <c r="F68" s="22" t="str">
        <f t="shared" si="12"/>
        <v/>
      </c>
      <c r="G68" s="10" t="str">
        <f t="shared" si="3"/>
        <v/>
      </c>
      <c r="H68" s="29" t="str">
        <f t="shared" ref="H68:H99" si="20">IF(F67&lt;$C$4,$C$9*((1+$C$7)^(F68-1)),"")</f>
        <v/>
      </c>
      <c r="I68" s="10" t="str">
        <f t="shared" si="13"/>
        <v/>
      </c>
      <c r="J68" s="10" t="str">
        <f t="shared" si="14"/>
        <v/>
      </c>
      <c r="K68" s="10" t="str">
        <f t="shared" si="15"/>
        <v/>
      </c>
      <c r="L68" s="10" t="str">
        <f t="shared" si="16"/>
        <v/>
      </c>
      <c r="M68" s="10" t="str">
        <f t="shared" si="17"/>
        <v/>
      </c>
      <c r="N68" s="10" t="str">
        <f t="shared" si="18"/>
        <v/>
      </c>
      <c r="O68" s="34" t="str">
        <f t="shared" si="9"/>
        <v/>
      </c>
      <c r="P68" s="34" t="str">
        <f t="shared" si="10"/>
        <v/>
      </c>
      <c r="Q68" s="34" t="str">
        <f t="shared" si="11"/>
        <v/>
      </c>
    </row>
    <row r="69" spans="1:17" x14ac:dyDescent="0.25">
      <c r="A69" s="1"/>
      <c r="B69" s="1"/>
      <c r="C69" s="1"/>
      <c r="D69" s="1"/>
      <c r="E69" s="1"/>
      <c r="F69" s="22" t="str">
        <f t="shared" si="12"/>
        <v/>
      </c>
      <c r="G69" s="10" t="str">
        <f t="shared" ref="G69:G132" si="21">IF(F68&lt;$C$4, $C$5, "")</f>
        <v/>
      </c>
      <c r="H69" s="29" t="str">
        <f t="shared" si="20"/>
        <v/>
      </c>
      <c r="I69" s="10" t="str">
        <f t="shared" si="13"/>
        <v/>
      </c>
      <c r="J69" s="10" t="str">
        <f t="shared" si="14"/>
        <v/>
      </c>
      <c r="K69" s="10" t="str">
        <f t="shared" si="15"/>
        <v/>
      </c>
      <c r="L69" s="10" t="str">
        <f t="shared" si="16"/>
        <v/>
      </c>
      <c r="M69" s="10" t="str">
        <f t="shared" si="17"/>
        <v/>
      </c>
      <c r="N69" s="10" t="str">
        <f t="shared" si="18"/>
        <v/>
      </c>
      <c r="O69" s="34" t="str">
        <f t="shared" ref="O69:O132" si="22">IF(F68&lt;$C$4, (1+$C$6)^($C$4-F69), "")</f>
        <v/>
      </c>
      <c r="P69" s="34" t="str">
        <f t="shared" ref="P69:P132" si="23">IF(F68&lt;$C$4, (1+$C$7)^(F69-1), "")</f>
        <v/>
      </c>
      <c r="Q69" s="34" t="str">
        <f t="shared" ref="Q69:Q132" si="24">IF(F68&lt;$C$4, O69*P69, "")</f>
        <v/>
      </c>
    </row>
    <row r="70" spans="1:17" x14ac:dyDescent="0.25">
      <c r="A70" s="1"/>
      <c r="B70" s="1"/>
      <c r="C70" s="1"/>
      <c r="D70" s="1"/>
      <c r="E70" s="1"/>
      <c r="F70" s="22" t="str">
        <f t="shared" ref="F70:F133" si="25">IF(F69&lt;$C$4, F69+1,"")</f>
        <v/>
      </c>
      <c r="G70" s="10" t="str">
        <f t="shared" si="21"/>
        <v/>
      </c>
      <c r="H70" s="29" t="str">
        <f t="shared" si="20"/>
        <v/>
      </c>
      <c r="I70" s="10" t="str">
        <f t="shared" ref="I70:I133" si="26">IF(F69&lt;$C$4,G70+H70,"")</f>
        <v/>
      </c>
      <c r="J70" s="10" t="str">
        <f t="shared" ref="J70:J133" si="27">IF(F69&lt;$C$4,M69*$C$3,"")</f>
        <v/>
      </c>
      <c r="K70" s="10" t="str">
        <f t="shared" ref="K70:K133" si="28">IF(F69&lt;$C$4,J70-G70,"")</f>
        <v/>
      </c>
      <c r="L70" s="10" t="str">
        <f t="shared" ref="L70:L133" si="29">IF(F68&lt;$C$4-1,L69*(1+$C$6)+H70,"")</f>
        <v/>
      </c>
      <c r="M70" s="10" t="str">
        <f t="shared" ref="M70:M133" si="30">IF(F69&lt;$C$4,M69+K70,"")</f>
        <v/>
      </c>
      <c r="N70" s="10" t="str">
        <f t="shared" ref="N70:N133" si="31">IF(F69&lt;$C$4,M70-L70,"")</f>
        <v/>
      </c>
      <c r="O70" s="34" t="str">
        <f t="shared" si="22"/>
        <v/>
      </c>
      <c r="P70" s="34" t="str">
        <f t="shared" si="23"/>
        <v/>
      </c>
      <c r="Q70" s="34" t="str">
        <f t="shared" si="24"/>
        <v/>
      </c>
    </row>
    <row r="71" spans="1:17" x14ac:dyDescent="0.25">
      <c r="A71" s="1"/>
      <c r="B71" s="1"/>
      <c r="C71" s="1"/>
      <c r="D71" s="1"/>
      <c r="E71" s="1"/>
      <c r="F71" s="22" t="str">
        <f t="shared" si="25"/>
        <v/>
      </c>
      <c r="G71" s="10" t="str">
        <f t="shared" si="21"/>
        <v/>
      </c>
      <c r="H71" s="29" t="str">
        <f t="shared" si="20"/>
        <v/>
      </c>
      <c r="I71" s="10" t="str">
        <f t="shared" si="26"/>
        <v/>
      </c>
      <c r="J71" s="10" t="str">
        <f t="shared" si="27"/>
        <v/>
      </c>
      <c r="K71" s="10" t="str">
        <f t="shared" si="28"/>
        <v/>
      </c>
      <c r="L71" s="10" t="str">
        <f t="shared" si="29"/>
        <v/>
      </c>
      <c r="M71" s="10" t="str">
        <f t="shared" si="30"/>
        <v/>
      </c>
      <c r="N71" s="10" t="str">
        <f t="shared" si="31"/>
        <v/>
      </c>
      <c r="O71" s="34" t="str">
        <f t="shared" si="22"/>
        <v/>
      </c>
      <c r="P71" s="34" t="str">
        <f t="shared" si="23"/>
        <v/>
      </c>
      <c r="Q71" s="34" t="str">
        <f t="shared" si="24"/>
        <v/>
      </c>
    </row>
    <row r="72" spans="1:17" x14ac:dyDescent="0.25">
      <c r="A72" s="1"/>
      <c r="B72" s="1"/>
      <c r="C72" s="1"/>
      <c r="D72" s="1"/>
      <c r="E72" s="1"/>
      <c r="F72" s="22" t="str">
        <f t="shared" si="25"/>
        <v/>
      </c>
      <c r="G72" s="10" t="str">
        <f t="shared" si="21"/>
        <v/>
      </c>
      <c r="H72" s="29" t="str">
        <f t="shared" si="20"/>
        <v/>
      </c>
      <c r="I72" s="10" t="str">
        <f t="shared" si="26"/>
        <v/>
      </c>
      <c r="J72" s="10" t="str">
        <f t="shared" si="27"/>
        <v/>
      </c>
      <c r="K72" s="10" t="str">
        <f t="shared" si="28"/>
        <v/>
      </c>
      <c r="L72" s="10" t="str">
        <f t="shared" si="29"/>
        <v/>
      </c>
      <c r="M72" s="10" t="str">
        <f t="shared" si="30"/>
        <v/>
      </c>
      <c r="N72" s="10" t="str">
        <f t="shared" si="31"/>
        <v/>
      </c>
      <c r="O72" s="34" t="str">
        <f t="shared" si="22"/>
        <v/>
      </c>
      <c r="P72" s="34" t="str">
        <f t="shared" si="23"/>
        <v/>
      </c>
      <c r="Q72" s="34" t="str">
        <f t="shared" si="24"/>
        <v/>
      </c>
    </row>
    <row r="73" spans="1:17" x14ac:dyDescent="0.25">
      <c r="A73" s="1"/>
      <c r="B73" s="1"/>
      <c r="C73" s="1"/>
      <c r="D73" s="1"/>
      <c r="E73" s="1"/>
      <c r="F73" s="22" t="str">
        <f t="shared" si="25"/>
        <v/>
      </c>
      <c r="G73" s="10" t="str">
        <f t="shared" si="21"/>
        <v/>
      </c>
      <c r="H73" s="29" t="str">
        <f t="shared" si="20"/>
        <v/>
      </c>
      <c r="I73" s="10" t="str">
        <f t="shared" si="26"/>
        <v/>
      </c>
      <c r="J73" s="10" t="str">
        <f t="shared" si="27"/>
        <v/>
      </c>
      <c r="K73" s="10" t="str">
        <f t="shared" si="28"/>
        <v/>
      </c>
      <c r="L73" s="10" t="str">
        <f t="shared" si="29"/>
        <v/>
      </c>
      <c r="M73" s="10" t="str">
        <f t="shared" si="30"/>
        <v/>
      </c>
      <c r="N73" s="10" t="str">
        <f t="shared" si="31"/>
        <v/>
      </c>
      <c r="O73" s="34" t="str">
        <f t="shared" si="22"/>
        <v/>
      </c>
      <c r="P73" s="34" t="str">
        <f t="shared" si="23"/>
        <v/>
      </c>
      <c r="Q73" s="34" t="str">
        <f t="shared" si="24"/>
        <v/>
      </c>
    </row>
    <row r="74" spans="1:17" x14ac:dyDescent="0.25">
      <c r="A74" s="1"/>
      <c r="B74" s="1"/>
      <c r="C74" s="1"/>
      <c r="D74" s="1"/>
      <c r="E74" s="1"/>
      <c r="F74" s="22" t="str">
        <f t="shared" si="25"/>
        <v/>
      </c>
      <c r="G74" s="10" t="str">
        <f t="shared" si="21"/>
        <v/>
      </c>
      <c r="H74" s="29" t="str">
        <f t="shared" si="20"/>
        <v/>
      </c>
      <c r="I74" s="10" t="str">
        <f t="shared" si="26"/>
        <v/>
      </c>
      <c r="J74" s="10" t="str">
        <f t="shared" si="27"/>
        <v/>
      </c>
      <c r="K74" s="10" t="str">
        <f t="shared" si="28"/>
        <v/>
      </c>
      <c r="L74" s="10" t="str">
        <f t="shared" si="29"/>
        <v/>
      </c>
      <c r="M74" s="10" t="str">
        <f t="shared" si="30"/>
        <v/>
      </c>
      <c r="N74" s="10" t="str">
        <f t="shared" si="31"/>
        <v/>
      </c>
      <c r="O74" s="34" t="str">
        <f t="shared" si="22"/>
        <v/>
      </c>
      <c r="P74" s="34" t="str">
        <f t="shared" si="23"/>
        <v/>
      </c>
      <c r="Q74" s="34" t="str">
        <f t="shared" si="24"/>
        <v/>
      </c>
    </row>
    <row r="75" spans="1:17" x14ac:dyDescent="0.25">
      <c r="A75" s="1"/>
      <c r="B75" s="1"/>
      <c r="C75" s="1"/>
      <c r="D75" s="1"/>
      <c r="E75" s="1"/>
      <c r="F75" s="22" t="str">
        <f t="shared" si="25"/>
        <v/>
      </c>
      <c r="G75" s="10" t="str">
        <f t="shared" si="21"/>
        <v/>
      </c>
      <c r="H75" s="29" t="str">
        <f t="shared" si="20"/>
        <v/>
      </c>
      <c r="I75" s="10" t="str">
        <f t="shared" si="26"/>
        <v/>
      </c>
      <c r="J75" s="10" t="str">
        <f t="shared" si="27"/>
        <v/>
      </c>
      <c r="K75" s="10" t="str">
        <f t="shared" si="28"/>
        <v/>
      </c>
      <c r="L75" s="10" t="str">
        <f t="shared" si="29"/>
        <v/>
      </c>
      <c r="M75" s="10" t="str">
        <f t="shared" si="30"/>
        <v/>
      </c>
      <c r="N75" s="10" t="str">
        <f t="shared" si="31"/>
        <v/>
      </c>
      <c r="O75" s="34" t="str">
        <f t="shared" si="22"/>
        <v/>
      </c>
      <c r="P75" s="34" t="str">
        <f t="shared" si="23"/>
        <v/>
      </c>
      <c r="Q75" s="34" t="str">
        <f t="shared" si="24"/>
        <v/>
      </c>
    </row>
    <row r="76" spans="1:17" x14ac:dyDescent="0.25">
      <c r="A76" s="1"/>
      <c r="B76" s="1"/>
      <c r="C76" s="1"/>
      <c r="D76" s="1"/>
      <c r="E76" s="1"/>
      <c r="F76" s="22" t="str">
        <f t="shared" si="25"/>
        <v/>
      </c>
      <c r="G76" s="10" t="str">
        <f t="shared" si="21"/>
        <v/>
      </c>
      <c r="H76" s="29" t="str">
        <f t="shared" si="20"/>
        <v/>
      </c>
      <c r="I76" s="10" t="str">
        <f t="shared" si="26"/>
        <v/>
      </c>
      <c r="J76" s="10" t="str">
        <f t="shared" si="27"/>
        <v/>
      </c>
      <c r="K76" s="10" t="str">
        <f t="shared" si="28"/>
        <v/>
      </c>
      <c r="L76" s="10" t="str">
        <f t="shared" si="29"/>
        <v/>
      </c>
      <c r="M76" s="10" t="str">
        <f t="shared" si="30"/>
        <v/>
      </c>
      <c r="N76" s="10" t="str">
        <f t="shared" si="31"/>
        <v/>
      </c>
      <c r="O76" s="34" t="str">
        <f t="shared" si="22"/>
        <v/>
      </c>
      <c r="P76" s="34" t="str">
        <f t="shared" si="23"/>
        <v/>
      </c>
      <c r="Q76" s="34" t="str">
        <f t="shared" si="24"/>
        <v/>
      </c>
    </row>
    <row r="77" spans="1:17" x14ac:dyDescent="0.25">
      <c r="A77" s="1"/>
      <c r="B77" s="1"/>
      <c r="C77" s="1"/>
      <c r="D77" s="1"/>
      <c r="E77" s="1"/>
      <c r="F77" s="22" t="str">
        <f t="shared" si="25"/>
        <v/>
      </c>
      <c r="G77" s="10" t="str">
        <f t="shared" si="21"/>
        <v/>
      </c>
      <c r="H77" s="29" t="str">
        <f t="shared" si="20"/>
        <v/>
      </c>
      <c r="I77" s="10" t="str">
        <f t="shared" si="26"/>
        <v/>
      </c>
      <c r="J77" s="10" t="str">
        <f t="shared" si="27"/>
        <v/>
      </c>
      <c r="K77" s="10" t="str">
        <f t="shared" si="28"/>
        <v/>
      </c>
      <c r="L77" s="10" t="str">
        <f t="shared" si="29"/>
        <v/>
      </c>
      <c r="M77" s="10" t="str">
        <f t="shared" si="30"/>
        <v/>
      </c>
      <c r="N77" s="10" t="str">
        <f t="shared" si="31"/>
        <v/>
      </c>
      <c r="O77" s="34" t="str">
        <f t="shared" si="22"/>
        <v/>
      </c>
      <c r="P77" s="34" t="str">
        <f t="shared" si="23"/>
        <v/>
      </c>
      <c r="Q77" s="34" t="str">
        <f t="shared" si="24"/>
        <v/>
      </c>
    </row>
    <row r="78" spans="1:17" x14ac:dyDescent="0.25">
      <c r="A78" s="1"/>
      <c r="B78" s="1"/>
      <c r="C78" s="1"/>
      <c r="D78" s="1"/>
      <c r="E78" s="1"/>
      <c r="F78" s="22" t="str">
        <f t="shared" si="25"/>
        <v/>
      </c>
      <c r="G78" s="10" t="str">
        <f t="shared" si="21"/>
        <v/>
      </c>
      <c r="H78" s="29" t="str">
        <f t="shared" si="20"/>
        <v/>
      </c>
      <c r="I78" s="10" t="str">
        <f t="shared" si="26"/>
        <v/>
      </c>
      <c r="J78" s="10" t="str">
        <f t="shared" si="27"/>
        <v/>
      </c>
      <c r="K78" s="10" t="str">
        <f t="shared" si="28"/>
        <v/>
      </c>
      <c r="L78" s="10" t="str">
        <f t="shared" si="29"/>
        <v/>
      </c>
      <c r="M78" s="10" t="str">
        <f t="shared" si="30"/>
        <v/>
      </c>
      <c r="N78" s="10" t="str">
        <f t="shared" si="31"/>
        <v/>
      </c>
      <c r="O78" s="34" t="str">
        <f t="shared" si="22"/>
        <v/>
      </c>
      <c r="P78" s="34" t="str">
        <f t="shared" si="23"/>
        <v/>
      </c>
      <c r="Q78" s="34" t="str">
        <f t="shared" si="24"/>
        <v/>
      </c>
    </row>
    <row r="79" spans="1:17" x14ac:dyDescent="0.25">
      <c r="A79" s="1"/>
      <c r="B79" s="1"/>
      <c r="C79" s="1"/>
      <c r="D79" s="1"/>
      <c r="E79" s="1"/>
      <c r="F79" s="22" t="str">
        <f t="shared" si="25"/>
        <v/>
      </c>
      <c r="G79" s="10" t="str">
        <f t="shared" si="21"/>
        <v/>
      </c>
      <c r="H79" s="29" t="str">
        <f t="shared" si="20"/>
        <v/>
      </c>
      <c r="I79" s="10" t="str">
        <f t="shared" si="26"/>
        <v/>
      </c>
      <c r="J79" s="10" t="str">
        <f t="shared" si="27"/>
        <v/>
      </c>
      <c r="K79" s="10" t="str">
        <f t="shared" si="28"/>
        <v/>
      </c>
      <c r="L79" s="10" t="str">
        <f t="shared" si="29"/>
        <v/>
      </c>
      <c r="M79" s="10" t="str">
        <f t="shared" si="30"/>
        <v/>
      </c>
      <c r="N79" s="10" t="str">
        <f t="shared" si="31"/>
        <v/>
      </c>
      <c r="O79" s="34" t="str">
        <f t="shared" si="22"/>
        <v/>
      </c>
      <c r="P79" s="34" t="str">
        <f t="shared" si="23"/>
        <v/>
      </c>
      <c r="Q79" s="34" t="str">
        <f t="shared" si="24"/>
        <v/>
      </c>
    </row>
    <row r="80" spans="1:17" x14ac:dyDescent="0.25">
      <c r="A80" s="1"/>
      <c r="B80" s="1"/>
      <c r="C80" s="1"/>
      <c r="D80" s="1"/>
      <c r="E80" s="1"/>
      <c r="F80" s="22" t="str">
        <f t="shared" si="25"/>
        <v/>
      </c>
      <c r="G80" s="10" t="str">
        <f t="shared" si="21"/>
        <v/>
      </c>
      <c r="H80" s="29" t="str">
        <f t="shared" si="20"/>
        <v/>
      </c>
      <c r="I80" s="10" t="str">
        <f t="shared" si="26"/>
        <v/>
      </c>
      <c r="J80" s="10" t="str">
        <f t="shared" si="27"/>
        <v/>
      </c>
      <c r="K80" s="10" t="str">
        <f t="shared" si="28"/>
        <v/>
      </c>
      <c r="L80" s="10" t="str">
        <f t="shared" si="29"/>
        <v/>
      </c>
      <c r="M80" s="10" t="str">
        <f t="shared" si="30"/>
        <v/>
      </c>
      <c r="N80" s="10" t="str">
        <f t="shared" si="31"/>
        <v/>
      </c>
      <c r="O80" s="34" t="str">
        <f t="shared" si="22"/>
        <v/>
      </c>
      <c r="P80" s="34" t="str">
        <f t="shared" si="23"/>
        <v/>
      </c>
      <c r="Q80" s="34" t="str">
        <f t="shared" si="24"/>
        <v/>
      </c>
    </row>
    <row r="81" spans="1:17" x14ac:dyDescent="0.25">
      <c r="A81" s="1"/>
      <c r="B81" s="1"/>
      <c r="C81" s="1"/>
      <c r="D81" s="1"/>
      <c r="E81" s="1"/>
      <c r="F81" s="22" t="str">
        <f t="shared" si="25"/>
        <v/>
      </c>
      <c r="G81" s="10" t="str">
        <f t="shared" si="21"/>
        <v/>
      </c>
      <c r="H81" s="29" t="str">
        <f t="shared" si="20"/>
        <v/>
      </c>
      <c r="I81" s="10" t="str">
        <f t="shared" si="26"/>
        <v/>
      </c>
      <c r="J81" s="10" t="str">
        <f t="shared" si="27"/>
        <v/>
      </c>
      <c r="K81" s="10" t="str">
        <f t="shared" si="28"/>
        <v/>
      </c>
      <c r="L81" s="10" t="str">
        <f t="shared" si="29"/>
        <v/>
      </c>
      <c r="M81" s="10" t="str">
        <f t="shared" si="30"/>
        <v/>
      </c>
      <c r="N81" s="10" t="str">
        <f t="shared" si="31"/>
        <v/>
      </c>
      <c r="O81" s="34" t="str">
        <f t="shared" si="22"/>
        <v/>
      </c>
      <c r="P81" s="34" t="str">
        <f t="shared" si="23"/>
        <v/>
      </c>
      <c r="Q81" s="34" t="str">
        <f t="shared" si="24"/>
        <v/>
      </c>
    </row>
    <row r="82" spans="1:17" x14ac:dyDescent="0.25">
      <c r="A82" s="1"/>
      <c r="B82" s="1"/>
      <c r="C82" s="1"/>
      <c r="D82" s="1"/>
      <c r="E82" s="1"/>
      <c r="F82" s="22" t="str">
        <f t="shared" si="25"/>
        <v/>
      </c>
      <c r="G82" s="10" t="str">
        <f t="shared" si="21"/>
        <v/>
      </c>
      <c r="H82" s="29" t="str">
        <f t="shared" si="20"/>
        <v/>
      </c>
      <c r="I82" s="10" t="str">
        <f t="shared" si="26"/>
        <v/>
      </c>
      <c r="J82" s="10" t="str">
        <f t="shared" si="27"/>
        <v/>
      </c>
      <c r="K82" s="10" t="str">
        <f t="shared" si="28"/>
        <v/>
      </c>
      <c r="L82" s="10" t="str">
        <f t="shared" si="29"/>
        <v/>
      </c>
      <c r="M82" s="10" t="str">
        <f t="shared" si="30"/>
        <v/>
      </c>
      <c r="N82" s="10" t="str">
        <f t="shared" si="31"/>
        <v/>
      </c>
      <c r="O82" s="34" t="str">
        <f t="shared" si="22"/>
        <v/>
      </c>
      <c r="P82" s="34" t="str">
        <f t="shared" si="23"/>
        <v/>
      </c>
      <c r="Q82" s="34" t="str">
        <f t="shared" si="24"/>
        <v/>
      </c>
    </row>
    <row r="83" spans="1:17" x14ac:dyDescent="0.25">
      <c r="A83" s="1"/>
      <c r="B83" s="1"/>
      <c r="C83" s="1"/>
      <c r="D83" s="1"/>
      <c r="E83" s="1"/>
      <c r="F83" s="22" t="str">
        <f t="shared" si="25"/>
        <v/>
      </c>
      <c r="G83" s="10" t="str">
        <f t="shared" si="21"/>
        <v/>
      </c>
      <c r="H83" s="29" t="str">
        <f t="shared" si="20"/>
        <v/>
      </c>
      <c r="I83" s="10" t="str">
        <f t="shared" si="26"/>
        <v/>
      </c>
      <c r="J83" s="10" t="str">
        <f t="shared" si="27"/>
        <v/>
      </c>
      <c r="K83" s="10" t="str">
        <f t="shared" si="28"/>
        <v/>
      </c>
      <c r="L83" s="10" t="str">
        <f t="shared" si="29"/>
        <v/>
      </c>
      <c r="M83" s="10" t="str">
        <f t="shared" si="30"/>
        <v/>
      </c>
      <c r="N83" s="10" t="str">
        <f t="shared" si="31"/>
        <v/>
      </c>
      <c r="O83" s="34" t="str">
        <f t="shared" si="22"/>
        <v/>
      </c>
      <c r="P83" s="34" t="str">
        <f t="shared" si="23"/>
        <v/>
      </c>
      <c r="Q83" s="34" t="str">
        <f t="shared" si="24"/>
        <v/>
      </c>
    </row>
    <row r="84" spans="1:17" x14ac:dyDescent="0.25">
      <c r="A84" s="1"/>
      <c r="B84" s="1"/>
      <c r="C84" s="1"/>
      <c r="D84" s="1"/>
      <c r="E84" s="1"/>
      <c r="F84" s="22" t="str">
        <f t="shared" si="25"/>
        <v/>
      </c>
      <c r="G84" s="10" t="str">
        <f t="shared" si="21"/>
        <v/>
      </c>
      <c r="H84" s="29" t="str">
        <f t="shared" si="20"/>
        <v/>
      </c>
      <c r="I84" s="10" t="str">
        <f t="shared" si="26"/>
        <v/>
      </c>
      <c r="J84" s="10" t="str">
        <f t="shared" si="27"/>
        <v/>
      </c>
      <c r="K84" s="10" t="str">
        <f t="shared" si="28"/>
        <v/>
      </c>
      <c r="L84" s="10" t="str">
        <f t="shared" si="29"/>
        <v/>
      </c>
      <c r="M84" s="10" t="str">
        <f t="shared" si="30"/>
        <v/>
      </c>
      <c r="N84" s="10" t="str">
        <f t="shared" si="31"/>
        <v/>
      </c>
      <c r="O84" s="34" t="str">
        <f t="shared" si="22"/>
        <v/>
      </c>
      <c r="P84" s="34" t="str">
        <f t="shared" si="23"/>
        <v/>
      </c>
      <c r="Q84" s="34" t="str">
        <f t="shared" si="24"/>
        <v/>
      </c>
    </row>
    <row r="85" spans="1:17" x14ac:dyDescent="0.25">
      <c r="A85" s="1"/>
      <c r="B85" s="1"/>
      <c r="C85" s="1"/>
      <c r="D85" s="1"/>
      <c r="E85" s="1"/>
      <c r="F85" s="22" t="str">
        <f t="shared" si="25"/>
        <v/>
      </c>
      <c r="G85" s="10" t="str">
        <f t="shared" si="21"/>
        <v/>
      </c>
      <c r="H85" s="29" t="str">
        <f t="shared" si="20"/>
        <v/>
      </c>
      <c r="I85" s="10" t="str">
        <f t="shared" si="26"/>
        <v/>
      </c>
      <c r="J85" s="10" t="str">
        <f t="shared" si="27"/>
        <v/>
      </c>
      <c r="K85" s="10" t="str">
        <f t="shared" si="28"/>
        <v/>
      </c>
      <c r="L85" s="10" t="str">
        <f t="shared" si="29"/>
        <v/>
      </c>
      <c r="M85" s="10" t="str">
        <f t="shared" si="30"/>
        <v/>
      </c>
      <c r="N85" s="10" t="str">
        <f t="shared" si="31"/>
        <v/>
      </c>
      <c r="O85" s="34" t="str">
        <f t="shared" si="22"/>
        <v/>
      </c>
      <c r="P85" s="34" t="str">
        <f t="shared" si="23"/>
        <v/>
      </c>
      <c r="Q85" s="34" t="str">
        <f t="shared" si="24"/>
        <v/>
      </c>
    </row>
    <row r="86" spans="1:17" x14ac:dyDescent="0.25">
      <c r="A86" s="1"/>
      <c r="B86" s="1"/>
      <c r="C86" s="1"/>
      <c r="D86" s="1"/>
      <c r="E86" s="1"/>
      <c r="F86" s="22" t="str">
        <f t="shared" si="25"/>
        <v/>
      </c>
      <c r="G86" s="10" t="str">
        <f t="shared" si="21"/>
        <v/>
      </c>
      <c r="H86" s="29" t="str">
        <f t="shared" si="20"/>
        <v/>
      </c>
      <c r="I86" s="10" t="str">
        <f t="shared" si="26"/>
        <v/>
      </c>
      <c r="J86" s="10" t="str">
        <f t="shared" si="27"/>
        <v/>
      </c>
      <c r="K86" s="10" t="str">
        <f t="shared" si="28"/>
        <v/>
      </c>
      <c r="L86" s="10" t="str">
        <f t="shared" si="29"/>
        <v/>
      </c>
      <c r="M86" s="10" t="str">
        <f t="shared" si="30"/>
        <v/>
      </c>
      <c r="N86" s="10" t="str">
        <f t="shared" si="31"/>
        <v/>
      </c>
      <c r="O86" s="34" t="str">
        <f t="shared" si="22"/>
        <v/>
      </c>
      <c r="P86" s="34" t="str">
        <f t="shared" si="23"/>
        <v/>
      </c>
      <c r="Q86" s="34" t="str">
        <f t="shared" si="24"/>
        <v/>
      </c>
    </row>
    <row r="87" spans="1:17" x14ac:dyDescent="0.25">
      <c r="A87" s="1"/>
      <c r="B87" s="1"/>
      <c r="C87" s="1"/>
      <c r="D87" s="1"/>
      <c r="E87" s="1"/>
      <c r="F87" s="22" t="str">
        <f t="shared" si="25"/>
        <v/>
      </c>
      <c r="G87" s="10" t="str">
        <f t="shared" si="21"/>
        <v/>
      </c>
      <c r="H87" s="29" t="str">
        <f t="shared" si="20"/>
        <v/>
      </c>
      <c r="I87" s="10" t="str">
        <f t="shared" si="26"/>
        <v/>
      </c>
      <c r="J87" s="10" t="str">
        <f t="shared" si="27"/>
        <v/>
      </c>
      <c r="K87" s="10" t="str">
        <f t="shared" si="28"/>
        <v/>
      </c>
      <c r="L87" s="10" t="str">
        <f t="shared" si="29"/>
        <v/>
      </c>
      <c r="M87" s="10" t="str">
        <f t="shared" si="30"/>
        <v/>
      </c>
      <c r="N87" s="10" t="str">
        <f t="shared" si="31"/>
        <v/>
      </c>
      <c r="O87" s="34" t="str">
        <f t="shared" si="22"/>
        <v/>
      </c>
      <c r="P87" s="34" t="str">
        <f t="shared" si="23"/>
        <v/>
      </c>
      <c r="Q87" s="34" t="str">
        <f t="shared" si="24"/>
        <v/>
      </c>
    </row>
    <row r="88" spans="1:17" x14ac:dyDescent="0.25">
      <c r="A88" s="1"/>
      <c r="B88" s="1"/>
      <c r="C88" s="1"/>
      <c r="D88" s="1"/>
      <c r="E88" s="1"/>
      <c r="F88" s="22" t="str">
        <f t="shared" si="25"/>
        <v/>
      </c>
      <c r="G88" s="10" t="str">
        <f t="shared" si="21"/>
        <v/>
      </c>
      <c r="H88" s="29" t="str">
        <f t="shared" si="20"/>
        <v/>
      </c>
      <c r="I88" s="10" t="str">
        <f t="shared" si="26"/>
        <v/>
      </c>
      <c r="J88" s="10" t="str">
        <f t="shared" si="27"/>
        <v/>
      </c>
      <c r="K88" s="10" t="str">
        <f t="shared" si="28"/>
        <v/>
      </c>
      <c r="L88" s="10" t="str">
        <f t="shared" si="29"/>
        <v/>
      </c>
      <c r="M88" s="10" t="str">
        <f t="shared" si="30"/>
        <v/>
      </c>
      <c r="N88" s="10" t="str">
        <f t="shared" si="31"/>
        <v/>
      </c>
      <c r="O88" s="34" t="str">
        <f t="shared" si="22"/>
        <v/>
      </c>
      <c r="P88" s="34" t="str">
        <f t="shared" si="23"/>
        <v/>
      </c>
      <c r="Q88" s="34" t="str">
        <f t="shared" si="24"/>
        <v/>
      </c>
    </row>
    <row r="89" spans="1:17" x14ac:dyDescent="0.25">
      <c r="A89" s="1"/>
      <c r="B89" s="1"/>
      <c r="C89" s="1"/>
      <c r="D89" s="1"/>
      <c r="E89" s="1"/>
      <c r="F89" s="22" t="str">
        <f t="shared" si="25"/>
        <v/>
      </c>
      <c r="G89" s="10" t="str">
        <f t="shared" si="21"/>
        <v/>
      </c>
      <c r="H89" s="29" t="str">
        <f t="shared" si="20"/>
        <v/>
      </c>
      <c r="I89" s="10" t="str">
        <f t="shared" si="26"/>
        <v/>
      </c>
      <c r="J89" s="10" t="str">
        <f t="shared" si="27"/>
        <v/>
      </c>
      <c r="K89" s="10" t="str">
        <f t="shared" si="28"/>
        <v/>
      </c>
      <c r="L89" s="10" t="str">
        <f t="shared" si="29"/>
        <v/>
      </c>
      <c r="M89" s="10" t="str">
        <f t="shared" si="30"/>
        <v/>
      </c>
      <c r="N89" s="10" t="str">
        <f t="shared" si="31"/>
        <v/>
      </c>
      <c r="O89" s="34" t="str">
        <f t="shared" si="22"/>
        <v/>
      </c>
      <c r="P89" s="34" t="str">
        <f t="shared" si="23"/>
        <v/>
      </c>
      <c r="Q89" s="34" t="str">
        <f t="shared" si="24"/>
        <v/>
      </c>
    </row>
    <row r="90" spans="1:17" x14ac:dyDescent="0.25">
      <c r="A90" s="1"/>
      <c r="B90" s="1"/>
      <c r="C90" s="1"/>
      <c r="D90" s="1"/>
      <c r="E90" s="1"/>
      <c r="F90" s="22" t="str">
        <f t="shared" si="25"/>
        <v/>
      </c>
      <c r="G90" s="10" t="str">
        <f t="shared" si="21"/>
        <v/>
      </c>
      <c r="H90" s="29" t="str">
        <f t="shared" si="20"/>
        <v/>
      </c>
      <c r="I90" s="10" t="str">
        <f t="shared" si="26"/>
        <v/>
      </c>
      <c r="J90" s="10" t="str">
        <f t="shared" si="27"/>
        <v/>
      </c>
      <c r="K90" s="10" t="str">
        <f t="shared" si="28"/>
        <v/>
      </c>
      <c r="L90" s="10" t="str">
        <f t="shared" si="29"/>
        <v/>
      </c>
      <c r="M90" s="10" t="str">
        <f t="shared" si="30"/>
        <v/>
      </c>
      <c r="N90" s="10" t="str">
        <f t="shared" si="31"/>
        <v/>
      </c>
      <c r="O90" s="34" t="str">
        <f t="shared" si="22"/>
        <v/>
      </c>
      <c r="P90" s="34" t="str">
        <f t="shared" si="23"/>
        <v/>
      </c>
      <c r="Q90" s="34" t="str">
        <f t="shared" si="24"/>
        <v/>
      </c>
    </row>
    <row r="91" spans="1:17" x14ac:dyDescent="0.25">
      <c r="A91" s="1"/>
      <c r="B91" s="1"/>
      <c r="C91" s="1"/>
      <c r="D91" s="1"/>
      <c r="E91" s="1"/>
      <c r="F91" s="22" t="str">
        <f t="shared" si="25"/>
        <v/>
      </c>
      <c r="G91" s="10" t="str">
        <f t="shared" si="21"/>
        <v/>
      </c>
      <c r="H91" s="29" t="str">
        <f t="shared" si="20"/>
        <v/>
      </c>
      <c r="I91" s="10" t="str">
        <f t="shared" si="26"/>
        <v/>
      </c>
      <c r="J91" s="10" t="str">
        <f t="shared" si="27"/>
        <v/>
      </c>
      <c r="K91" s="10" t="str">
        <f t="shared" si="28"/>
        <v/>
      </c>
      <c r="L91" s="10" t="str">
        <f t="shared" si="29"/>
        <v/>
      </c>
      <c r="M91" s="10" t="str">
        <f t="shared" si="30"/>
        <v/>
      </c>
      <c r="N91" s="10" t="str">
        <f t="shared" si="31"/>
        <v/>
      </c>
      <c r="O91" s="34" t="str">
        <f t="shared" si="22"/>
        <v/>
      </c>
      <c r="P91" s="34" t="str">
        <f t="shared" si="23"/>
        <v/>
      </c>
      <c r="Q91" s="34" t="str">
        <f t="shared" si="24"/>
        <v/>
      </c>
    </row>
    <row r="92" spans="1:17" x14ac:dyDescent="0.25">
      <c r="A92" s="1"/>
      <c r="B92" s="1"/>
      <c r="C92" s="1"/>
      <c r="D92" s="1"/>
      <c r="E92" s="1"/>
      <c r="F92" s="22" t="str">
        <f t="shared" si="25"/>
        <v/>
      </c>
      <c r="G92" s="10" t="str">
        <f t="shared" si="21"/>
        <v/>
      </c>
      <c r="H92" s="29" t="str">
        <f t="shared" si="20"/>
        <v/>
      </c>
      <c r="I92" s="10" t="str">
        <f t="shared" si="26"/>
        <v/>
      </c>
      <c r="J92" s="10" t="str">
        <f t="shared" si="27"/>
        <v/>
      </c>
      <c r="K92" s="10" t="str">
        <f t="shared" si="28"/>
        <v/>
      </c>
      <c r="L92" s="10" t="str">
        <f t="shared" si="29"/>
        <v/>
      </c>
      <c r="M92" s="10" t="str">
        <f t="shared" si="30"/>
        <v/>
      </c>
      <c r="N92" s="10" t="str">
        <f t="shared" si="31"/>
        <v/>
      </c>
      <c r="O92" s="34" t="str">
        <f t="shared" si="22"/>
        <v/>
      </c>
      <c r="P92" s="34" t="str">
        <f t="shared" si="23"/>
        <v/>
      </c>
      <c r="Q92" s="34" t="str">
        <f t="shared" si="24"/>
        <v/>
      </c>
    </row>
    <row r="93" spans="1:17" x14ac:dyDescent="0.25">
      <c r="A93" s="1"/>
      <c r="B93" s="1"/>
      <c r="C93" s="1"/>
      <c r="D93" s="1"/>
      <c r="E93" s="1"/>
      <c r="F93" s="22" t="str">
        <f t="shared" si="25"/>
        <v/>
      </c>
      <c r="G93" s="10" t="str">
        <f t="shared" si="21"/>
        <v/>
      </c>
      <c r="H93" s="29" t="str">
        <f t="shared" si="20"/>
        <v/>
      </c>
      <c r="I93" s="10" t="str">
        <f t="shared" si="26"/>
        <v/>
      </c>
      <c r="J93" s="10" t="str">
        <f t="shared" si="27"/>
        <v/>
      </c>
      <c r="K93" s="10" t="str">
        <f t="shared" si="28"/>
        <v/>
      </c>
      <c r="L93" s="10" t="str">
        <f t="shared" si="29"/>
        <v/>
      </c>
      <c r="M93" s="10" t="str">
        <f t="shared" si="30"/>
        <v/>
      </c>
      <c r="N93" s="10" t="str">
        <f t="shared" si="31"/>
        <v/>
      </c>
      <c r="O93" s="34" t="str">
        <f t="shared" si="22"/>
        <v/>
      </c>
      <c r="P93" s="34" t="str">
        <f t="shared" si="23"/>
        <v/>
      </c>
      <c r="Q93" s="34" t="str">
        <f t="shared" si="24"/>
        <v/>
      </c>
    </row>
    <row r="94" spans="1:17" x14ac:dyDescent="0.25">
      <c r="A94" s="1"/>
      <c r="B94" s="1"/>
      <c r="C94" s="1"/>
      <c r="D94" s="1"/>
      <c r="E94" s="1"/>
      <c r="F94" s="22" t="str">
        <f t="shared" si="25"/>
        <v/>
      </c>
      <c r="G94" s="10" t="str">
        <f t="shared" si="21"/>
        <v/>
      </c>
      <c r="H94" s="29" t="str">
        <f t="shared" si="20"/>
        <v/>
      </c>
      <c r="I94" s="10" t="str">
        <f t="shared" si="26"/>
        <v/>
      </c>
      <c r="J94" s="10" t="str">
        <f t="shared" si="27"/>
        <v/>
      </c>
      <c r="K94" s="10" t="str">
        <f t="shared" si="28"/>
        <v/>
      </c>
      <c r="L94" s="10" t="str">
        <f t="shared" si="29"/>
        <v/>
      </c>
      <c r="M94" s="10" t="str">
        <f t="shared" si="30"/>
        <v/>
      </c>
      <c r="N94" s="10" t="str">
        <f t="shared" si="31"/>
        <v/>
      </c>
      <c r="O94" s="34" t="str">
        <f t="shared" si="22"/>
        <v/>
      </c>
      <c r="P94" s="34" t="str">
        <f t="shared" si="23"/>
        <v/>
      </c>
      <c r="Q94" s="34" t="str">
        <f t="shared" si="24"/>
        <v/>
      </c>
    </row>
    <row r="95" spans="1:17" x14ac:dyDescent="0.25">
      <c r="A95" s="1"/>
      <c r="B95" s="1"/>
      <c r="C95" s="1"/>
      <c r="D95" s="1"/>
      <c r="E95" s="1"/>
      <c r="F95" s="22" t="str">
        <f t="shared" si="25"/>
        <v/>
      </c>
      <c r="G95" s="10" t="str">
        <f t="shared" si="21"/>
        <v/>
      </c>
      <c r="H95" s="29" t="str">
        <f t="shared" si="20"/>
        <v/>
      </c>
      <c r="I95" s="10" t="str">
        <f t="shared" si="26"/>
        <v/>
      </c>
      <c r="J95" s="10" t="str">
        <f t="shared" si="27"/>
        <v/>
      </c>
      <c r="K95" s="10" t="str">
        <f t="shared" si="28"/>
        <v/>
      </c>
      <c r="L95" s="10" t="str">
        <f t="shared" si="29"/>
        <v/>
      </c>
      <c r="M95" s="10" t="str">
        <f t="shared" si="30"/>
        <v/>
      </c>
      <c r="N95" s="10" t="str">
        <f t="shared" si="31"/>
        <v/>
      </c>
      <c r="O95" s="34" t="str">
        <f t="shared" si="22"/>
        <v/>
      </c>
      <c r="P95" s="34" t="str">
        <f t="shared" si="23"/>
        <v/>
      </c>
      <c r="Q95" s="34" t="str">
        <f t="shared" si="24"/>
        <v/>
      </c>
    </row>
    <row r="96" spans="1:17" x14ac:dyDescent="0.25">
      <c r="A96" s="1"/>
      <c r="B96" s="1"/>
      <c r="C96" s="1"/>
      <c r="D96" s="1"/>
      <c r="E96" s="1"/>
      <c r="F96" s="22" t="str">
        <f t="shared" si="25"/>
        <v/>
      </c>
      <c r="G96" s="10" t="str">
        <f t="shared" si="21"/>
        <v/>
      </c>
      <c r="H96" s="29" t="str">
        <f t="shared" si="20"/>
        <v/>
      </c>
      <c r="I96" s="10" t="str">
        <f t="shared" si="26"/>
        <v/>
      </c>
      <c r="J96" s="10" t="str">
        <f t="shared" si="27"/>
        <v/>
      </c>
      <c r="K96" s="10" t="str">
        <f t="shared" si="28"/>
        <v/>
      </c>
      <c r="L96" s="10" t="str">
        <f t="shared" si="29"/>
        <v/>
      </c>
      <c r="M96" s="10" t="str">
        <f t="shared" si="30"/>
        <v/>
      </c>
      <c r="N96" s="10" t="str">
        <f t="shared" si="31"/>
        <v/>
      </c>
      <c r="O96" s="34" t="str">
        <f t="shared" si="22"/>
        <v/>
      </c>
      <c r="P96" s="34" t="str">
        <f t="shared" si="23"/>
        <v/>
      </c>
      <c r="Q96" s="34" t="str">
        <f t="shared" si="24"/>
        <v/>
      </c>
    </row>
    <row r="97" spans="1:17" x14ac:dyDescent="0.25">
      <c r="A97" s="1"/>
      <c r="B97" s="1"/>
      <c r="C97" s="1"/>
      <c r="D97" s="1"/>
      <c r="E97" s="1"/>
      <c r="F97" s="22" t="str">
        <f t="shared" si="25"/>
        <v/>
      </c>
      <c r="G97" s="10" t="str">
        <f t="shared" si="21"/>
        <v/>
      </c>
      <c r="H97" s="29" t="str">
        <f t="shared" si="20"/>
        <v/>
      </c>
      <c r="I97" s="10" t="str">
        <f t="shared" si="26"/>
        <v/>
      </c>
      <c r="J97" s="10" t="str">
        <f t="shared" si="27"/>
        <v/>
      </c>
      <c r="K97" s="10" t="str">
        <f t="shared" si="28"/>
        <v/>
      </c>
      <c r="L97" s="10" t="str">
        <f t="shared" si="29"/>
        <v/>
      </c>
      <c r="M97" s="10" t="str">
        <f t="shared" si="30"/>
        <v/>
      </c>
      <c r="N97" s="10" t="str">
        <f t="shared" si="31"/>
        <v/>
      </c>
      <c r="O97" s="34" t="str">
        <f t="shared" si="22"/>
        <v/>
      </c>
      <c r="P97" s="34" t="str">
        <f t="shared" si="23"/>
        <v/>
      </c>
      <c r="Q97" s="34" t="str">
        <f t="shared" si="24"/>
        <v/>
      </c>
    </row>
    <row r="98" spans="1:17" x14ac:dyDescent="0.25">
      <c r="A98" s="1"/>
      <c r="B98" s="1"/>
      <c r="C98" s="1"/>
      <c r="D98" s="1"/>
      <c r="E98" s="1"/>
      <c r="F98" s="22" t="str">
        <f t="shared" si="25"/>
        <v/>
      </c>
      <c r="G98" s="10" t="str">
        <f t="shared" si="21"/>
        <v/>
      </c>
      <c r="H98" s="29" t="str">
        <f t="shared" si="20"/>
        <v/>
      </c>
      <c r="I98" s="10" t="str">
        <f t="shared" si="26"/>
        <v/>
      </c>
      <c r="J98" s="10" t="str">
        <f t="shared" si="27"/>
        <v/>
      </c>
      <c r="K98" s="10" t="str">
        <f t="shared" si="28"/>
        <v/>
      </c>
      <c r="L98" s="10" t="str">
        <f t="shared" si="29"/>
        <v/>
      </c>
      <c r="M98" s="10" t="str">
        <f t="shared" si="30"/>
        <v/>
      </c>
      <c r="N98" s="10" t="str">
        <f t="shared" si="31"/>
        <v/>
      </c>
      <c r="O98" s="34" t="str">
        <f t="shared" si="22"/>
        <v/>
      </c>
      <c r="P98" s="34" t="str">
        <f t="shared" si="23"/>
        <v/>
      </c>
      <c r="Q98" s="34" t="str">
        <f t="shared" si="24"/>
        <v/>
      </c>
    </row>
    <row r="99" spans="1:17" x14ac:dyDescent="0.25">
      <c r="A99" s="1"/>
      <c r="B99" s="1"/>
      <c r="C99" s="1"/>
      <c r="D99" s="1"/>
      <c r="E99" s="1"/>
      <c r="F99" s="22" t="str">
        <f t="shared" si="25"/>
        <v/>
      </c>
      <c r="G99" s="10" t="str">
        <f t="shared" si="21"/>
        <v/>
      </c>
      <c r="H99" s="29" t="str">
        <f t="shared" si="20"/>
        <v/>
      </c>
      <c r="I99" s="10" t="str">
        <f t="shared" si="26"/>
        <v/>
      </c>
      <c r="J99" s="10" t="str">
        <f t="shared" si="27"/>
        <v/>
      </c>
      <c r="K99" s="10" t="str">
        <f t="shared" si="28"/>
        <v/>
      </c>
      <c r="L99" s="10" t="str">
        <f t="shared" si="29"/>
        <v/>
      </c>
      <c r="M99" s="10" t="str">
        <f t="shared" si="30"/>
        <v/>
      </c>
      <c r="N99" s="10" t="str">
        <f t="shared" si="31"/>
        <v/>
      </c>
      <c r="O99" s="34" t="str">
        <f t="shared" si="22"/>
        <v/>
      </c>
      <c r="P99" s="34" t="str">
        <f t="shared" si="23"/>
        <v/>
      </c>
      <c r="Q99" s="34" t="str">
        <f t="shared" si="24"/>
        <v/>
      </c>
    </row>
    <row r="100" spans="1:17" x14ac:dyDescent="0.25">
      <c r="A100" s="1"/>
      <c r="B100" s="1"/>
      <c r="C100" s="1"/>
      <c r="D100" s="1"/>
      <c r="E100" s="1"/>
      <c r="F100" s="22" t="str">
        <f t="shared" si="25"/>
        <v/>
      </c>
      <c r="G100" s="10" t="str">
        <f t="shared" si="21"/>
        <v/>
      </c>
      <c r="H100" s="29" t="str">
        <f t="shared" ref="H100:H131" si="32">IF(F99&lt;$C$4,$C$9*((1+$C$7)^(F100-1)),"")</f>
        <v/>
      </c>
      <c r="I100" s="10" t="str">
        <f t="shared" si="26"/>
        <v/>
      </c>
      <c r="J100" s="10" t="str">
        <f t="shared" si="27"/>
        <v/>
      </c>
      <c r="K100" s="10" t="str">
        <f t="shared" si="28"/>
        <v/>
      </c>
      <c r="L100" s="10" t="str">
        <f t="shared" si="29"/>
        <v/>
      </c>
      <c r="M100" s="10" t="str">
        <f t="shared" si="30"/>
        <v/>
      </c>
      <c r="N100" s="10" t="str">
        <f t="shared" si="31"/>
        <v/>
      </c>
      <c r="O100" s="34" t="str">
        <f t="shared" si="22"/>
        <v/>
      </c>
      <c r="P100" s="34" t="str">
        <f t="shared" si="23"/>
        <v/>
      </c>
      <c r="Q100" s="34" t="str">
        <f t="shared" si="24"/>
        <v/>
      </c>
    </row>
    <row r="101" spans="1:17" x14ac:dyDescent="0.25">
      <c r="A101" s="1"/>
      <c r="B101" s="1"/>
      <c r="C101" s="1"/>
      <c r="D101" s="1"/>
      <c r="E101" s="1"/>
      <c r="F101" s="22" t="str">
        <f t="shared" si="25"/>
        <v/>
      </c>
      <c r="G101" s="10" t="str">
        <f t="shared" si="21"/>
        <v/>
      </c>
      <c r="H101" s="29" t="str">
        <f t="shared" si="32"/>
        <v/>
      </c>
      <c r="I101" s="10" t="str">
        <f t="shared" si="26"/>
        <v/>
      </c>
      <c r="J101" s="10" t="str">
        <f t="shared" si="27"/>
        <v/>
      </c>
      <c r="K101" s="10" t="str">
        <f t="shared" si="28"/>
        <v/>
      </c>
      <c r="L101" s="10" t="str">
        <f t="shared" si="29"/>
        <v/>
      </c>
      <c r="M101" s="10" t="str">
        <f t="shared" si="30"/>
        <v/>
      </c>
      <c r="N101" s="10" t="str">
        <f t="shared" si="31"/>
        <v/>
      </c>
      <c r="O101" s="34" t="str">
        <f t="shared" si="22"/>
        <v/>
      </c>
      <c r="P101" s="34" t="str">
        <f t="shared" si="23"/>
        <v/>
      </c>
      <c r="Q101" s="34" t="str">
        <f t="shared" si="24"/>
        <v/>
      </c>
    </row>
    <row r="102" spans="1:17" x14ac:dyDescent="0.25">
      <c r="A102" s="1"/>
      <c r="B102" s="1"/>
      <c r="C102" s="1"/>
      <c r="D102" s="1"/>
      <c r="E102" s="1"/>
      <c r="F102" s="22" t="str">
        <f t="shared" si="25"/>
        <v/>
      </c>
      <c r="G102" s="10" t="str">
        <f t="shared" si="21"/>
        <v/>
      </c>
      <c r="H102" s="29" t="str">
        <f t="shared" si="32"/>
        <v/>
      </c>
      <c r="I102" s="10" t="str">
        <f t="shared" si="26"/>
        <v/>
      </c>
      <c r="J102" s="10" t="str">
        <f t="shared" si="27"/>
        <v/>
      </c>
      <c r="K102" s="10" t="str">
        <f t="shared" si="28"/>
        <v/>
      </c>
      <c r="L102" s="10" t="str">
        <f t="shared" si="29"/>
        <v/>
      </c>
      <c r="M102" s="10" t="str">
        <f t="shared" si="30"/>
        <v/>
      </c>
      <c r="N102" s="10" t="str">
        <f t="shared" si="31"/>
        <v/>
      </c>
      <c r="O102" s="34" t="str">
        <f t="shared" si="22"/>
        <v/>
      </c>
      <c r="P102" s="34" t="str">
        <f t="shared" si="23"/>
        <v/>
      </c>
      <c r="Q102" s="34" t="str">
        <f t="shared" si="24"/>
        <v/>
      </c>
    </row>
    <row r="103" spans="1:17" x14ac:dyDescent="0.25">
      <c r="A103" s="1"/>
      <c r="B103" s="1"/>
      <c r="C103" s="1"/>
      <c r="D103" s="1"/>
      <c r="E103" s="1"/>
      <c r="F103" s="22" t="str">
        <f t="shared" si="25"/>
        <v/>
      </c>
      <c r="G103" s="10" t="str">
        <f t="shared" si="21"/>
        <v/>
      </c>
      <c r="H103" s="29" t="str">
        <f t="shared" si="32"/>
        <v/>
      </c>
      <c r="I103" s="10" t="str">
        <f t="shared" si="26"/>
        <v/>
      </c>
      <c r="J103" s="10" t="str">
        <f t="shared" si="27"/>
        <v/>
      </c>
      <c r="K103" s="10" t="str">
        <f t="shared" si="28"/>
        <v/>
      </c>
      <c r="L103" s="10" t="str">
        <f t="shared" si="29"/>
        <v/>
      </c>
      <c r="M103" s="10" t="str">
        <f t="shared" si="30"/>
        <v/>
      </c>
      <c r="N103" s="10" t="str">
        <f t="shared" si="31"/>
        <v/>
      </c>
      <c r="O103" s="34" t="str">
        <f t="shared" si="22"/>
        <v/>
      </c>
      <c r="P103" s="34" t="str">
        <f t="shared" si="23"/>
        <v/>
      </c>
      <c r="Q103" s="34" t="str">
        <f t="shared" si="24"/>
        <v/>
      </c>
    </row>
    <row r="104" spans="1:17" x14ac:dyDescent="0.25">
      <c r="A104" s="1"/>
      <c r="B104" s="1"/>
      <c r="C104" s="1"/>
      <c r="D104" s="1"/>
      <c r="E104" s="1"/>
      <c r="F104" s="22" t="str">
        <f t="shared" si="25"/>
        <v/>
      </c>
      <c r="G104" s="10" t="str">
        <f t="shared" si="21"/>
        <v/>
      </c>
      <c r="H104" s="29" t="str">
        <f t="shared" si="32"/>
        <v/>
      </c>
      <c r="I104" s="10" t="str">
        <f t="shared" si="26"/>
        <v/>
      </c>
      <c r="J104" s="10" t="str">
        <f t="shared" si="27"/>
        <v/>
      </c>
      <c r="K104" s="10" t="str">
        <f t="shared" si="28"/>
        <v/>
      </c>
      <c r="L104" s="10" t="str">
        <f t="shared" si="29"/>
        <v/>
      </c>
      <c r="M104" s="10" t="str">
        <f t="shared" si="30"/>
        <v/>
      </c>
      <c r="N104" s="10" t="str">
        <f t="shared" si="31"/>
        <v/>
      </c>
      <c r="O104" s="34" t="str">
        <f t="shared" si="22"/>
        <v/>
      </c>
      <c r="P104" s="34" t="str">
        <f t="shared" si="23"/>
        <v/>
      </c>
      <c r="Q104" s="34" t="str">
        <f t="shared" si="24"/>
        <v/>
      </c>
    </row>
    <row r="105" spans="1:17" x14ac:dyDescent="0.25">
      <c r="A105" s="1"/>
      <c r="B105" s="1"/>
      <c r="C105" s="1"/>
      <c r="D105" s="1"/>
      <c r="E105" s="1"/>
      <c r="F105" s="22" t="str">
        <f t="shared" si="25"/>
        <v/>
      </c>
      <c r="G105" s="10" t="str">
        <f t="shared" si="21"/>
        <v/>
      </c>
      <c r="H105" s="29" t="str">
        <f t="shared" si="32"/>
        <v/>
      </c>
      <c r="I105" s="10" t="str">
        <f t="shared" si="26"/>
        <v/>
      </c>
      <c r="J105" s="10" t="str">
        <f t="shared" si="27"/>
        <v/>
      </c>
      <c r="K105" s="10" t="str">
        <f t="shared" si="28"/>
        <v/>
      </c>
      <c r="L105" s="10" t="str">
        <f t="shared" si="29"/>
        <v/>
      </c>
      <c r="M105" s="10" t="str">
        <f t="shared" si="30"/>
        <v/>
      </c>
      <c r="N105" s="10" t="str">
        <f t="shared" si="31"/>
        <v/>
      </c>
      <c r="O105" s="34" t="str">
        <f t="shared" si="22"/>
        <v/>
      </c>
      <c r="P105" s="34" t="str">
        <f t="shared" si="23"/>
        <v/>
      </c>
      <c r="Q105" s="34" t="str">
        <f t="shared" si="24"/>
        <v/>
      </c>
    </row>
    <row r="106" spans="1:17" x14ac:dyDescent="0.25">
      <c r="A106" s="1"/>
      <c r="B106" s="1"/>
      <c r="C106" s="1"/>
      <c r="D106" s="1"/>
      <c r="E106" s="1"/>
      <c r="F106" s="22" t="str">
        <f t="shared" si="25"/>
        <v/>
      </c>
      <c r="G106" s="10" t="str">
        <f t="shared" si="21"/>
        <v/>
      </c>
      <c r="H106" s="29" t="str">
        <f t="shared" si="32"/>
        <v/>
      </c>
      <c r="I106" s="10" t="str">
        <f t="shared" si="26"/>
        <v/>
      </c>
      <c r="J106" s="10" t="str">
        <f t="shared" si="27"/>
        <v/>
      </c>
      <c r="K106" s="10" t="str">
        <f t="shared" si="28"/>
        <v/>
      </c>
      <c r="L106" s="10" t="str">
        <f t="shared" si="29"/>
        <v/>
      </c>
      <c r="M106" s="10" t="str">
        <f t="shared" si="30"/>
        <v/>
      </c>
      <c r="N106" s="10" t="str">
        <f t="shared" si="31"/>
        <v/>
      </c>
      <c r="O106" s="34" t="str">
        <f t="shared" si="22"/>
        <v/>
      </c>
      <c r="P106" s="34" t="str">
        <f t="shared" si="23"/>
        <v/>
      </c>
      <c r="Q106" s="34" t="str">
        <f t="shared" si="24"/>
        <v/>
      </c>
    </row>
    <row r="107" spans="1:17" x14ac:dyDescent="0.25">
      <c r="A107" s="1"/>
      <c r="B107" s="1"/>
      <c r="C107" s="1"/>
      <c r="D107" s="1"/>
      <c r="E107" s="1"/>
      <c r="F107" s="22" t="str">
        <f t="shared" si="25"/>
        <v/>
      </c>
      <c r="G107" s="10" t="str">
        <f t="shared" si="21"/>
        <v/>
      </c>
      <c r="H107" s="29" t="str">
        <f t="shared" si="32"/>
        <v/>
      </c>
      <c r="I107" s="10" t="str">
        <f t="shared" si="26"/>
        <v/>
      </c>
      <c r="J107" s="10" t="str">
        <f t="shared" si="27"/>
        <v/>
      </c>
      <c r="K107" s="10" t="str">
        <f t="shared" si="28"/>
        <v/>
      </c>
      <c r="L107" s="10" t="str">
        <f t="shared" si="29"/>
        <v/>
      </c>
      <c r="M107" s="10" t="str">
        <f t="shared" si="30"/>
        <v/>
      </c>
      <c r="N107" s="10" t="str">
        <f t="shared" si="31"/>
        <v/>
      </c>
      <c r="O107" s="34" t="str">
        <f t="shared" si="22"/>
        <v/>
      </c>
      <c r="P107" s="34" t="str">
        <f t="shared" si="23"/>
        <v/>
      </c>
      <c r="Q107" s="34" t="str">
        <f t="shared" si="24"/>
        <v/>
      </c>
    </row>
    <row r="108" spans="1:17" x14ac:dyDescent="0.25">
      <c r="A108" s="1"/>
      <c r="B108" s="1"/>
      <c r="C108" s="1"/>
      <c r="D108" s="1"/>
      <c r="E108" s="1"/>
      <c r="F108" s="22" t="str">
        <f t="shared" si="25"/>
        <v/>
      </c>
      <c r="G108" s="10" t="str">
        <f t="shared" si="21"/>
        <v/>
      </c>
      <c r="H108" s="29" t="str">
        <f t="shared" si="32"/>
        <v/>
      </c>
      <c r="I108" s="10" t="str">
        <f t="shared" si="26"/>
        <v/>
      </c>
      <c r="J108" s="10" t="str">
        <f t="shared" si="27"/>
        <v/>
      </c>
      <c r="K108" s="10" t="str">
        <f t="shared" si="28"/>
        <v/>
      </c>
      <c r="L108" s="10" t="str">
        <f t="shared" si="29"/>
        <v/>
      </c>
      <c r="M108" s="10" t="str">
        <f t="shared" si="30"/>
        <v/>
      </c>
      <c r="N108" s="10" t="str">
        <f t="shared" si="31"/>
        <v/>
      </c>
      <c r="O108" s="34" t="str">
        <f t="shared" si="22"/>
        <v/>
      </c>
      <c r="P108" s="34" t="str">
        <f t="shared" si="23"/>
        <v/>
      </c>
      <c r="Q108" s="34" t="str">
        <f t="shared" si="24"/>
        <v/>
      </c>
    </row>
    <row r="109" spans="1:17" x14ac:dyDescent="0.25">
      <c r="A109" s="1"/>
      <c r="B109" s="1"/>
      <c r="C109" s="1"/>
      <c r="D109" s="1"/>
      <c r="E109" s="1"/>
      <c r="F109" s="22" t="str">
        <f t="shared" si="25"/>
        <v/>
      </c>
      <c r="G109" s="10" t="str">
        <f t="shared" si="21"/>
        <v/>
      </c>
      <c r="H109" s="29" t="str">
        <f t="shared" si="32"/>
        <v/>
      </c>
      <c r="I109" s="10" t="str">
        <f t="shared" si="26"/>
        <v/>
      </c>
      <c r="J109" s="10" t="str">
        <f t="shared" si="27"/>
        <v/>
      </c>
      <c r="K109" s="10" t="str">
        <f t="shared" si="28"/>
        <v/>
      </c>
      <c r="L109" s="10" t="str">
        <f t="shared" si="29"/>
        <v/>
      </c>
      <c r="M109" s="10" t="str">
        <f t="shared" si="30"/>
        <v/>
      </c>
      <c r="N109" s="10" t="str">
        <f t="shared" si="31"/>
        <v/>
      </c>
      <c r="O109" s="34" t="str">
        <f t="shared" si="22"/>
        <v/>
      </c>
      <c r="P109" s="34" t="str">
        <f t="shared" si="23"/>
        <v/>
      </c>
      <c r="Q109" s="34" t="str">
        <f t="shared" si="24"/>
        <v/>
      </c>
    </row>
    <row r="110" spans="1:17" x14ac:dyDescent="0.25">
      <c r="A110" s="1"/>
      <c r="B110" s="1"/>
      <c r="C110" s="1"/>
      <c r="D110" s="1"/>
      <c r="E110" s="1"/>
      <c r="F110" s="22" t="str">
        <f t="shared" si="25"/>
        <v/>
      </c>
      <c r="G110" s="10" t="str">
        <f t="shared" si="21"/>
        <v/>
      </c>
      <c r="H110" s="29" t="str">
        <f t="shared" si="32"/>
        <v/>
      </c>
      <c r="I110" s="10" t="str">
        <f t="shared" si="26"/>
        <v/>
      </c>
      <c r="J110" s="10" t="str">
        <f t="shared" si="27"/>
        <v/>
      </c>
      <c r="K110" s="10" t="str">
        <f t="shared" si="28"/>
        <v/>
      </c>
      <c r="L110" s="10" t="str">
        <f t="shared" si="29"/>
        <v/>
      </c>
      <c r="M110" s="10" t="str">
        <f t="shared" si="30"/>
        <v/>
      </c>
      <c r="N110" s="10" t="str">
        <f t="shared" si="31"/>
        <v/>
      </c>
      <c r="O110" s="34" t="str">
        <f t="shared" si="22"/>
        <v/>
      </c>
      <c r="P110" s="34" t="str">
        <f t="shared" si="23"/>
        <v/>
      </c>
      <c r="Q110" s="34" t="str">
        <f t="shared" si="24"/>
        <v/>
      </c>
    </row>
    <row r="111" spans="1:17" x14ac:dyDescent="0.25">
      <c r="A111" s="1"/>
      <c r="B111" s="1"/>
      <c r="C111" s="1"/>
      <c r="D111" s="1"/>
      <c r="E111" s="1"/>
      <c r="F111" s="22" t="str">
        <f t="shared" si="25"/>
        <v/>
      </c>
      <c r="G111" s="10" t="str">
        <f t="shared" si="21"/>
        <v/>
      </c>
      <c r="H111" s="29" t="str">
        <f t="shared" si="32"/>
        <v/>
      </c>
      <c r="I111" s="10" t="str">
        <f t="shared" si="26"/>
        <v/>
      </c>
      <c r="J111" s="10" t="str">
        <f t="shared" si="27"/>
        <v/>
      </c>
      <c r="K111" s="10" t="str">
        <f t="shared" si="28"/>
        <v/>
      </c>
      <c r="L111" s="10" t="str">
        <f t="shared" si="29"/>
        <v/>
      </c>
      <c r="M111" s="10" t="str">
        <f t="shared" si="30"/>
        <v/>
      </c>
      <c r="N111" s="10" t="str">
        <f t="shared" si="31"/>
        <v/>
      </c>
      <c r="O111" s="34" t="str">
        <f t="shared" si="22"/>
        <v/>
      </c>
      <c r="P111" s="34" t="str">
        <f t="shared" si="23"/>
        <v/>
      </c>
      <c r="Q111" s="34" t="str">
        <f t="shared" si="24"/>
        <v/>
      </c>
    </row>
    <row r="112" spans="1:17" x14ac:dyDescent="0.25">
      <c r="F112" s="22" t="str">
        <f t="shared" si="25"/>
        <v/>
      </c>
      <c r="G112" s="10" t="str">
        <f t="shared" si="21"/>
        <v/>
      </c>
      <c r="H112" s="29" t="str">
        <f t="shared" si="32"/>
        <v/>
      </c>
      <c r="I112" s="10" t="str">
        <f t="shared" si="26"/>
        <v/>
      </c>
      <c r="J112" s="10" t="str">
        <f t="shared" si="27"/>
        <v/>
      </c>
      <c r="K112" s="10" t="str">
        <f t="shared" si="28"/>
        <v/>
      </c>
      <c r="L112" s="10" t="str">
        <f t="shared" si="29"/>
        <v/>
      </c>
      <c r="M112" s="10" t="str">
        <f t="shared" si="30"/>
        <v/>
      </c>
      <c r="N112" s="10" t="str">
        <f t="shared" si="31"/>
        <v/>
      </c>
      <c r="O112" s="34" t="str">
        <f t="shared" si="22"/>
        <v/>
      </c>
      <c r="P112" s="34" t="str">
        <f t="shared" si="23"/>
        <v/>
      </c>
      <c r="Q112" s="34" t="str">
        <f t="shared" si="24"/>
        <v/>
      </c>
    </row>
    <row r="113" spans="6:17" x14ac:dyDescent="0.25">
      <c r="F113" s="22" t="str">
        <f t="shared" si="25"/>
        <v/>
      </c>
      <c r="G113" s="10" t="str">
        <f t="shared" si="21"/>
        <v/>
      </c>
      <c r="H113" s="29" t="str">
        <f t="shared" si="32"/>
        <v/>
      </c>
      <c r="I113" s="10" t="str">
        <f t="shared" si="26"/>
        <v/>
      </c>
      <c r="J113" s="10" t="str">
        <f t="shared" si="27"/>
        <v/>
      </c>
      <c r="K113" s="10" t="str">
        <f t="shared" si="28"/>
        <v/>
      </c>
      <c r="L113" s="10" t="str">
        <f t="shared" si="29"/>
        <v/>
      </c>
      <c r="M113" s="10" t="str">
        <f t="shared" si="30"/>
        <v/>
      </c>
      <c r="N113" s="10" t="str">
        <f t="shared" si="31"/>
        <v/>
      </c>
      <c r="O113" s="34" t="str">
        <f t="shared" si="22"/>
        <v/>
      </c>
      <c r="P113" s="34" t="str">
        <f t="shared" si="23"/>
        <v/>
      </c>
      <c r="Q113" s="34" t="str">
        <f t="shared" si="24"/>
        <v/>
      </c>
    </row>
    <row r="114" spans="6:17" x14ac:dyDescent="0.25">
      <c r="F114" s="22" t="str">
        <f t="shared" si="25"/>
        <v/>
      </c>
      <c r="G114" s="10" t="str">
        <f t="shared" si="21"/>
        <v/>
      </c>
      <c r="H114" s="29" t="str">
        <f t="shared" si="32"/>
        <v/>
      </c>
      <c r="I114" s="10" t="str">
        <f t="shared" si="26"/>
        <v/>
      </c>
      <c r="J114" s="10" t="str">
        <f t="shared" si="27"/>
        <v/>
      </c>
      <c r="K114" s="10" t="str">
        <f t="shared" si="28"/>
        <v/>
      </c>
      <c r="L114" s="10" t="str">
        <f t="shared" si="29"/>
        <v/>
      </c>
      <c r="M114" s="10" t="str">
        <f t="shared" si="30"/>
        <v/>
      </c>
      <c r="N114" s="10" t="str">
        <f t="shared" si="31"/>
        <v/>
      </c>
      <c r="O114" s="34" t="str">
        <f t="shared" si="22"/>
        <v/>
      </c>
      <c r="P114" s="34" t="str">
        <f t="shared" si="23"/>
        <v/>
      </c>
      <c r="Q114" s="34" t="str">
        <f t="shared" si="24"/>
        <v/>
      </c>
    </row>
    <row r="115" spans="6:17" x14ac:dyDescent="0.25">
      <c r="F115" s="22" t="str">
        <f t="shared" si="25"/>
        <v/>
      </c>
      <c r="G115" s="10" t="str">
        <f t="shared" si="21"/>
        <v/>
      </c>
      <c r="H115" s="29" t="str">
        <f t="shared" si="32"/>
        <v/>
      </c>
      <c r="I115" s="10" t="str">
        <f t="shared" si="26"/>
        <v/>
      </c>
      <c r="J115" s="10" t="str">
        <f t="shared" si="27"/>
        <v/>
      </c>
      <c r="K115" s="10" t="str">
        <f t="shared" si="28"/>
        <v/>
      </c>
      <c r="L115" s="10" t="str">
        <f t="shared" si="29"/>
        <v/>
      </c>
      <c r="M115" s="10" t="str">
        <f t="shared" si="30"/>
        <v/>
      </c>
      <c r="N115" s="10" t="str">
        <f t="shared" si="31"/>
        <v/>
      </c>
      <c r="O115" s="34" t="str">
        <f t="shared" si="22"/>
        <v/>
      </c>
      <c r="P115" s="34" t="str">
        <f t="shared" si="23"/>
        <v/>
      </c>
      <c r="Q115" s="34" t="str">
        <f t="shared" si="24"/>
        <v/>
      </c>
    </row>
    <row r="116" spans="6:17" x14ac:dyDescent="0.25">
      <c r="F116" s="22" t="str">
        <f t="shared" si="25"/>
        <v/>
      </c>
      <c r="G116" s="10" t="str">
        <f t="shared" si="21"/>
        <v/>
      </c>
      <c r="H116" s="29" t="str">
        <f t="shared" si="32"/>
        <v/>
      </c>
      <c r="I116" s="10" t="str">
        <f t="shared" si="26"/>
        <v/>
      </c>
      <c r="J116" s="10" t="str">
        <f t="shared" si="27"/>
        <v/>
      </c>
      <c r="K116" s="10" t="str">
        <f t="shared" si="28"/>
        <v/>
      </c>
      <c r="L116" s="10" t="str">
        <f t="shared" si="29"/>
        <v/>
      </c>
      <c r="M116" s="10" t="str">
        <f t="shared" si="30"/>
        <v/>
      </c>
      <c r="N116" s="10" t="str">
        <f t="shared" si="31"/>
        <v/>
      </c>
      <c r="O116" s="34" t="str">
        <f t="shared" si="22"/>
        <v/>
      </c>
      <c r="P116" s="34" t="str">
        <f t="shared" si="23"/>
        <v/>
      </c>
      <c r="Q116" s="34" t="str">
        <f t="shared" si="24"/>
        <v/>
      </c>
    </row>
    <row r="117" spans="6:17" x14ac:dyDescent="0.25">
      <c r="F117" s="22" t="str">
        <f t="shared" si="25"/>
        <v/>
      </c>
      <c r="G117" s="10" t="str">
        <f t="shared" si="21"/>
        <v/>
      </c>
      <c r="H117" s="29" t="str">
        <f t="shared" si="32"/>
        <v/>
      </c>
      <c r="I117" s="10" t="str">
        <f t="shared" si="26"/>
        <v/>
      </c>
      <c r="J117" s="10" t="str">
        <f t="shared" si="27"/>
        <v/>
      </c>
      <c r="K117" s="10" t="str">
        <f t="shared" si="28"/>
        <v/>
      </c>
      <c r="L117" s="10" t="str">
        <f t="shared" si="29"/>
        <v/>
      </c>
      <c r="M117" s="10" t="str">
        <f t="shared" si="30"/>
        <v/>
      </c>
      <c r="N117" s="10" t="str">
        <f t="shared" si="31"/>
        <v/>
      </c>
      <c r="O117" s="34" t="str">
        <f t="shared" si="22"/>
        <v/>
      </c>
      <c r="P117" s="34" t="str">
        <f t="shared" si="23"/>
        <v/>
      </c>
      <c r="Q117" s="34" t="str">
        <f t="shared" si="24"/>
        <v/>
      </c>
    </row>
    <row r="118" spans="6:17" x14ac:dyDescent="0.25">
      <c r="F118" s="22" t="str">
        <f t="shared" si="25"/>
        <v/>
      </c>
      <c r="G118" s="10" t="str">
        <f t="shared" si="21"/>
        <v/>
      </c>
      <c r="H118" s="29" t="str">
        <f t="shared" si="32"/>
        <v/>
      </c>
      <c r="I118" s="10" t="str">
        <f t="shared" si="26"/>
        <v/>
      </c>
      <c r="J118" s="10" t="str">
        <f t="shared" si="27"/>
        <v/>
      </c>
      <c r="K118" s="10" t="str">
        <f t="shared" si="28"/>
        <v/>
      </c>
      <c r="L118" s="10" t="str">
        <f t="shared" si="29"/>
        <v/>
      </c>
      <c r="M118" s="10" t="str">
        <f t="shared" si="30"/>
        <v/>
      </c>
      <c r="N118" s="10" t="str">
        <f t="shared" si="31"/>
        <v/>
      </c>
      <c r="O118" s="34" t="str">
        <f t="shared" si="22"/>
        <v/>
      </c>
      <c r="P118" s="34" t="str">
        <f t="shared" si="23"/>
        <v/>
      </c>
      <c r="Q118" s="34" t="str">
        <f t="shared" si="24"/>
        <v/>
      </c>
    </row>
    <row r="119" spans="6:17" x14ac:dyDescent="0.25">
      <c r="F119" s="22" t="str">
        <f t="shared" si="25"/>
        <v/>
      </c>
      <c r="G119" s="10" t="str">
        <f t="shared" si="21"/>
        <v/>
      </c>
      <c r="H119" s="29" t="str">
        <f t="shared" si="32"/>
        <v/>
      </c>
      <c r="I119" s="10" t="str">
        <f t="shared" si="26"/>
        <v/>
      </c>
      <c r="J119" s="10" t="str">
        <f t="shared" si="27"/>
        <v/>
      </c>
      <c r="K119" s="10" t="str">
        <f t="shared" si="28"/>
        <v/>
      </c>
      <c r="L119" s="10" t="str">
        <f t="shared" si="29"/>
        <v/>
      </c>
      <c r="M119" s="10" t="str">
        <f t="shared" si="30"/>
        <v/>
      </c>
      <c r="N119" s="10" t="str">
        <f t="shared" si="31"/>
        <v/>
      </c>
      <c r="O119" s="34" t="str">
        <f t="shared" si="22"/>
        <v/>
      </c>
      <c r="P119" s="34" t="str">
        <f t="shared" si="23"/>
        <v/>
      </c>
      <c r="Q119" s="34" t="str">
        <f t="shared" si="24"/>
        <v/>
      </c>
    </row>
    <row r="120" spans="6:17" x14ac:dyDescent="0.25">
      <c r="F120" s="22" t="str">
        <f t="shared" si="25"/>
        <v/>
      </c>
      <c r="G120" s="10" t="str">
        <f t="shared" si="21"/>
        <v/>
      </c>
      <c r="H120" s="29" t="str">
        <f t="shared" si="32"/>
        <v/>
      </c>
      <c r="I120" s="10" t="str">
        <f t="shared" si="26"/>
        <v/>
      </c>
      <c r="J120" s="10" t="str">
        <f t="shared" si="27"/>
        <v/>
      </c>
      <c r="K120" s="10" t="str">
        <f t="shared" si="28"/>
        <v/>
      </c>
      <c r="L120" s="10" t="str">
        <f t="shared" si="29"/>
        <v/>
      </c>
      <c r="M120" s="10" t="str">
        <f t="shared" si="30"/>
        <v/>
      </c>
      <c r="N120" s="10" t="str">
        <f t="shared" si="31"/>
        <v/>
      </c>
      <c r="O120" s="34" t="str">
        <f t="shared" si="22"/>
        <v/>
      </c>
      <c r="P120" s="34" t="str">
        <f t="shared" si="23"/>
        <v/>
      </c>
      <c r="Q120" s="34" t="str">
        <f t="shared" si="24"/>
        <v/>
      </c>
    </row>
    <row r="121" spans="6:17" x14ac:dyDescent="0.25">
      <c r="F121" s="22" t="str">
        <f t="shared" si="25"/>
        <v/>
      </c>
      <c r="G121" s="10" t="str">
        <f t="shared" si="21"/>
        <v/>
      </c>
      <c r="H121" s="29" t="str">
        <f t="shared" si="32"/>
        <v/>
      </c>
      <c r="I121" s="10" t="str">
        <f t="shared" si="26"/>
        <v/>
      </c>
      <c r="J121" s="10" t="str">
        <f t="shared" si="27"/>
        <v/>
      </c>
      <c r="K121" s="10" t="str">
        <f t="shared" si="28"/>
        <v/>
      </c>
      <c r="L121" s="10" t="str">
        <f t="shared" si="29"/>
        <v/>
      </c>
      <c r="M121" s="10" t="str">
        <f t="shared" si="30"/>
        <v/>
      </c>
      <c r="N121" s="10" t="str">
        <f t="shared" si="31"/>
        <v/>
      </c>
      <c r="O121" s="34" t="str">
        <f t="shared" si="22"/>
        <v/>
      </c>
      <c r="P121" s="34" t="str">
        <f t="shared" si="23"/>
        <v/>
      </c>
      <c r="Q121" s="34" t="str">
        <f t="shared" si="24"/>
        <v/>
      </c>
    </row>
    <row r="122" spans="6:17" x14ac:dyDescent="0.25">
      <c r="F122" s="22" t="str">
        <f t="shared" si="25"/>
        <v/>
      </c>
      <c r="G122" s="10" t="str">
        <f t="shared" si="21"/>
        <v/>
      </c>
      <c r="H122" s="29" t="str">
        <f t="shared" si="32"/>
        <v/>
      </c>
      <c r="I122" s="10" t="str">
        <f t="shared" si="26"/>
        <v/>
      </c>
      <c r="J122" s="10" t="str">
        <f t="shared" si="27"/>
        <v/>
      </c>
      <c r="K122" s="10" t="str">
        <f t="shared" si="28"/>
        <v/>
      </c>
      <c r="L122" s="10" t="str">
        <f t="shared" si="29"/>
        <v/>
      </c>
      <c r="M122" s="10" t="str">
        <f t="shared" si="30"/>
        <v/>
      </c>
      <c r="N122" s="10" t="str">
        <f t="shared" si="31"/>
        <v/>
      </c>
      <c r="O122" s="34" t="str">
        <f t="shared" si="22"/>
        <v/>
      </c>
      <c r="P122" s="34" t="str">
        <f t="shared" si="23"/>
        <v/>
      </c>
      <c r="Q122" s="34" t="str">
        <f t="shared" si="24"/>
        <v/>
      </c>
    </row>
    <row r="123" spans="6:17" x14ac:dyDescent="0.25">
      <c r="F123" s="22" t="str">
        <f t="shared" si="25"/>
        <v/>
      </c>
      <c r="G123" s="10" t="str">
        <f t="shared" si="21"/>
        <v/>
      </c>
      <c r="H123" s="29" t="str">
        <f t="shared" si="32"/>
        <v/>
      </c>
      <c r="I123" s="10" t="str">
        <f t="shared" si="26"/>
        <v/>
      </c>
      <c r="J123" s="10" t="str">
        <f t="shared" si="27"/>
        <v/>
      </c>
      <c r="K123" s="10" t="str">
        <f t="shared" si="28"/>
        <v/>
      </c>
      <c r="L123" s="10" t="str">
        <f t="shared" si="29"/>
        <v/>
      </c>
      <c r="M123" s="10" t="str">
        <f t="shared" si="30"/>
        <v/>
      </c>
      <c r="N123" s="10" t="str">
        <f t="shared" si="31"/>
        <v/>
      </c>
      <c r="O123" s="34" t="str">
        <f t="shared" si="22"/>
        <v/>
      </c>
      <c r="P123" s="34" t="str">
        <f t="shared" si="23"/>
        <v/>
      </c>
      <c r="Q123" s="34" t="str">
        <f t="shared" si="24"/>
        <v/>
      </c>
    </row>
    <row r="124" spans="6:17" x14ac:dyDescent="0.25">
      <c r="F124" s="22" t="str">
        <f t="shared" si="25"/>
        <v/>
      </c>
      <c r="G124" s="10" t="str">
        <f t="shared" si="21"/>
        <v/>
      </c>
      <c r="H124" s="29" t="str">
        <f t="shared" si="32"/>
        <v/>
      </c>
      <c r="I124" s="10" t="str">
        <f t="shared" si="26"/>
        <v/>
      </c>
      <c r="J124" s="10" t="str">
        <f t="shared" si="27"/>
        <v/>
      </c>
      <c r="K124" s="10" t="str">
        <f t="shared" si="28"/>
        <v/>
      </c>
      <c r="L124" s="10" t="str">
        <f t="shared" si="29"/>
        <v/>
      </c>
      <c r="M124" s="10" t="str">
        <f t="shared" si="30"/>
        <v/>
      </c>
      <c r="N124" s="10" t="str">
        <f t="shared" si="31"/>
        <v/>
      </c>
      <c r="O124" s="34" t="str">
        <f t="shared" si="22"/>
        <v/>
      </c>
      <c r="P124" s="34" t="str">
        <f t="shared" si="23"/>
        <v/>
      </c>
      <c r="Q124" s="34" t="str">
        <f t="shared" si="24"/>
        <v/>
      </c>
    </row>
    <row r="125" spans="6:17" x14ac:dyDescent="0.25">
      <c r="F125" s="22" t="str">
        <f t="shared" si="25"/>
        <v/>
      </c>
      <c r="G125" s="10" t="str">
        <f t="shared" si="21"/>
        <v/>
      </c>
      <c r="H125" s="29" t="str">
        <f t="shared" si="32"/>
        <v/>
      </c>
      <c r="I125" s="10" t="str">
        <f t="shared" si="26"/>
        <v/>
      </c>
      <c r="J125" s="10" t="str">
        <f t="shared" si="27"/>
        <v/>
      </c>
      <c r="K125" s="10" t="str">
        <f t="shared" si="28"/>
        <v/>
      </c>
      <c r="L125" s="10" t="str">
        <f t="shared" si="29"/>
        <v/>
      </c>
      <c r="M125" s="10" t="str">
        <f t="shared" si="30"/>
        <v/>
      </c>
      <c r="N125" s="10" t="str">
        <f t="shared" si="31"/>
        <v/>
      </c>
      <c r="O125" s="34" t="str">
        <f t="shared" si="22"/>
        <v/>
      </c>
      <c r="P125" s="34" t="str">
        <f t="shared" si="23"/>
        <v/>
      </c>
      <c r="Q125" s="34" t="str">
        <f t="shared" si="24"/>
        <v/>
      </c>
    </row>
    <row r="126" spans="6:17" x14ac:dyDescent="0.25">
      <c r="F126" s="22" t="str">
        <f t="shared" si="25"/>
        <v/>
      </c>
      <c r="G126" s="10" t="str">
        <f t="shared" si="21"/>
        <v/>
      </c>
      <c r="H126" s="29" t="str">
        <f t="shared" si="32"/>
        <v/>
      </c>
      <c r="I126" s="10" t="str">
        <f t="shared" si="26"/>
        <v/>
      </c>
      <c r="J126" s="10" t="str">
        <f t="shared" si="27"/>
        <v/>
      </c>
      <c r="K126" s="10" t="str">
        <f t="shared" si="28"/>
        <v/>
      </c>
      <c r="L126" s="10" t="str">
        <f t="shared" si="29"/>
        <v/>
      </c>
      <c r="M126" s="10" t="str">
        <f t="shared" si="30"/>
        <v/>
      </c>
      <c r="N126" s="10" t="str">
        <f t="shared" si="31"/>
        <v/>
      </c>
      <c r="O126" s="34" t="str">
        <f t="shared" si="22"/>
        <v/>
      </c>
      <c r="P126" s="34" t="str">
        <f t="shared" si="23"/>
        <v/>
      </c>
      <c r="Q126" s="34" t="str">
        <f t="shared" si="24"/>
        <v/>
      </c>
    </row>
    <row r="127" spans="6:17" x14ac:dyDescent="0.25">
      <c r="F127" s="22" t="str">
        <f t="shared" si="25"/>
        <v/>
      </c>
      <c r="G127" s="10" t="str">
        <f t="shared" si="21"/>
        <v/>
      </c>
      <c r="H127" s="29" t="str">
        <f t="shared" si="32"/>
        <v/>
      </c>
      <c r="I127" s="10" t="str">
        <f t="shared" si="26"/>
        <v/>
      </c>
      <c r="J127" s="10" t="str">
        <f t="shared" si="27"/>
        <v/>
      </c>
      <c r="K127" s="10" t="str">
        <f t="shared" si="28"/>
        <v/>
      </c>
      <c r="L127" s="10" t="str">
        <f t="shared" si="29"/>
        <v/>
      </c>
      <c r="M127" s="10" t="str">
        <f t="shared" si="30"/>
        <v/>
      </c>
      <c r="N127" s="10" t="str">
        <f t="shared" si="31"/>
        <v/>
      </c>
      <c r="O127" s="34" t="str">
        <f t="shared" si="22"/>
        <v/>
      </c>
      <c r="P127" s="34" t="str">
        <f t="shared" si="23"/>
        <v/>
      </c>
      <c r="Q127" s="34" t="str">
        <f t="shared" si="24"/>
        <v/>
      </c>
    </row>
    <row r="128" spans="6:17" x14ac:dyDescent="0.25">
      <c r="F128" s="22" t="str">
        <f t="shared" si="25"/>
        <v/>
      </c>
      <c r="G128" s="10" t="str">
        <f t="shared" si="21"/>
        <v/>
      </c>
      <c r="H128" s="29" t="str">
        <f t="shared" si="32"/>
        <v/>
      </c>
      <c r="I128" s="10" t="str">
        <f t="shared" si="26"/>
        <v/>
      </c>
      <c r="J128" s="10" t="str">
        <f t="shared" si="27"/>
        <v/>
      </c>
      <c r="K128" s="10" t="str">
        <f t="shared" si="28"/>
        <v/>
      </c>
      <c r="L128" s="10" t="str">
        <f t="shared" si="29"/>
        <v/>
      </c>
      <c r="M128" s="10" t="str">
        <f t="shared" si="30"/>
        <v/>
      </c>
      <c r="N128" s="10" t="str">
        <f t="shared" si="31"/>
        <v/>
      </c>
      <c r="O128" s="34" t="str">
        <f t="shared" si="22"/>
        <v/>
      </c>
      <c r="P128" s="34" t="str">
        <f t="shared" si="23"/>
        <v/>
      </c>
      <c r="Q128" s="34" t="str">
        <f t="shared" si="24"/>
        <v/>
      </c>
    </row>
    <row r="129" spans="6:17" x14ac:dyDescent="0.25">
      <c r="F129" s="22" t="str">
        <f t="shared" si="25"/>
        <v/>
      </c>
      <c r="G129" s="10" t="str">
        <f t="shared" si="21"/>
        <v/>
      </c>
      <c r="H129" s="29" t="str">
        <f t="shared" si="32"/>
        <v/>
      </c>
      <c r="I129" s="10" t="str">
        <f t="shared" si="26"/>
        <v/>
      </c>
      <c r="J129" s="10" t="str">
        <f t="shared" si="27"/>
        <v/>
      </c>
      <c r="K129" s="10" t="str">
        <f t="shared" si="28"/>
        <v/>
      </c>
      <c r="L129" s="10" t="str">
        <f t="shared" si="29"/>
        <v/>
      </c>
      <c r="M129" s="10" t="str">
        <f t="shared" si="30"/>
        <v/>
      </c>
      <c r="N129" s="10" t="str">
        <f t="shared" si="31"/>
        <v/>
      </c>
      <c r="O129" s="34" t="str">
        <f t="shared" si="22"/>
        <v/>
      </c>
      <c r="P129" s="34" t="str">
        <f t="shared" si="23"/>
        <v/>
      </c>
      <c r="Q129" s="34" t="str">
        <f t="shared" si="24"/>
        <v/>
      </c>
    </row>
    <row r="130" spans="6:17" x14ac:dyDescent="0.25">
      <c r="F130" s="22" t="str">
        <f t="shared" si="25"/>
        <v/>
      </c>
      <c r="G130" s="10" t="str">
        <f t="shared" si="21"/>
        <v/>
      </c>
      <c r="H130" s="29" t="str">
        <f t="shared" si="32"/>
        <v/>
      </c>
      <c r="I130" s="10" t="str">
        <f t="shared" si="26"/>
        <v/>
      </c>
      <c r="J130" s="10" t="str">
        <f t="shared" si="27"/>
        <v/>
      </c>
      <c r="K130" s="10" t="str">
        <f t="shared" si="28"/>
        <v/>
      </c>
      <c r="L130" s="10" t="str">
        <f t="shared" si="29"/>
        <v/>
      </c>
      <c r="M130" s="10" t="str">
        <f t="shared" si="30"/>
        <v/>
      </c>
      <c r="N130" s="10" t="str">
        <f t="shared" si="31"/>
        <v/>
      </c>
      <c r="O130" s="34" t="str">
        <f t="shared" si="22"/>
        <v/>
      </c>
      <c r="P130" s="34" t="str">
        <f t="shared" si="23"/>
        <v/>
      </c>
      <c r="Q130" s="34" t="str">
        <f t="shared" si="24"/>
        <v/>
      </c>
    </row>
    <row r="131" spans="6:17" x14ac:dyDescent="0.25">
      <c r="F131" s="22" t="str">
        <f t="shared" si="25"/>
        <v/>
      </c>
      <c r="G131" s="10" t="str">
        <f t="shared" si="21"/>
        <v/>
      </c>
      <c r="H131" s="29" t="str">
        <f t="shared" si="32"/>
        <v/>
      </c>
      <c r="I131" s="10" t="str">
        <f t="shared" si="26"/>
        <v/>
      </c>
      <c r="J131" s="10" t="str">
        <f t="shared" si="27"/>
        <v/>
      </c>
      <c r="K131" s="10" t="str">
        <f t="shared" si="28"/>
        <v/>
      </c>
      <c r="L131" s="10" t="str">
        <f t="shared" si="29"/>
        <v/>
      </c>
      <c r="M131" s="10" t="str">
        <f t="shared" si="30"/>
        <v/>
      </c>
      <c r="N131" s="10" t="str">
        <f t="shared" si="31"/>
        <v/>
      </c>
      <c r="O131" s="34" t="str">
        <f t="shared" si="22"/>
        <v/>
      </c>
      <c r="P131" s="34" t="str">
        <f t="shared" si="23"/>
        <v/>
      </c>
      <c r="Q131" s="34" t="str">
        <f t="shared" si="24"/>
        <v/>
      </c>
    </row>
    <row r="132" spans="6:17" x14ac:dyDescent="0.25">
      <c r="F132" s="22" t="str">
        <f t="shared" si="25"/>
        <v/>
      </c>
      <c r="G132" s="10" t="str">
        <f t="shared" si="21"/>
        <v/>
      </c>
      <c r="H132" s="29" t="str">
        <f t="shared" ref="H132:H160" si="33">IF(F131&lt;$C$4,$C$9*((1+$C$7)^(F132-1)),"")</f>
        <v/>
      </c>
      <c r="I132" s="10" t="str">
        <f t="shared" si="26"/>
        <v/>
      </c>
      <c r="J132" s="10" t="str">
        <f t="shared" si="27"/>
        <v/>
      </c>
      <c r="K132" s="10" t="str">
        <f t="shared" si="28"/>
        <v/>
      </c>
      <c r="L132" s="10" t="str">
        <f t="shared" si="29"/>
        <v/>
      </c>
      <c r="M132" s="10" t="str">
        <f t="shared" si="30"/>
        <v/>
      </c>
      <c r="N132" s="10" t="str">
        <f t="shared" si="31"/>
        <v/>
      </c>
      <c r="O132" s="34" t="str">
        <f t="shared" si="22"/>
        <v/>
      </c>
      <c r="P132" s="34" t="str">
        <f t="shared" si="23"/>
        <v/>
      </c>
      <c r="Q132" s="34" t="str">
        <f t="shared" si="24"/>
        <v/>
      </c>
    </row>
    <row r="133" spans="6:17" x14ac:dyDescent="0.25">
      <c r="F133" s="22" t="str">
        <f t="shared" si="25"/>
        <v/>
      </c>
      <c r="G133" s="10" t="str">
        <f t="shared" ref="G133:G160" si="34">IF(F132&lt;$C$4, $C$5, "")</f>
        <v/>
      </c>
      <c r="H133" s="29" t="str">
        <f t="shared" si="33"/>
        <v/>
      </c>
      <c r="I133" s="10" t="str">
        <f t="shared" si="26"/>
        <v/>
      </c>
      <c r="J133" s="10" t="str">
        <f t="shared" si="27"/>
        <v/>
      </c>
      <c r="K133" s="10" t="str">
        <f t="shared" si="28"/>
        <v/>
      </c>
      <c r="L133" s="10" t="str">
        <f t="shared" si="29"/>
        <v/>
      </c>
      <c r="M133" s="10" t="str">
        <f t="shared" si="30"/>
        <v/>
      </c>
      <c r="N133" s="10" t="str">
        <f t="shared" si="31"/>
        <v/>
      </c>
      <c r="O133" s="34" t="str">
        <f t="shared" ref="O133:O160" si="35">IF(F132&lt;$C$4, (1+$C$6)^($C$4-F133), "")</f>
        <v/>
      </c>
      <c r="P133" s="34" t="str">
        <f t="shared" ref="P133:P160" si="36">IF(F132&lt;$C$4, (1+$C$7)^(F133-1), "")</f>
        <v/>
      </c>
      <c r="Q133" s="34" t="str">
        <f t="shared" ref="Q133:Q160" si="37">IF(F132&lt;$C$4, O133*P133, "")</f>
        <v/>
      </c>
    </row>
    <row r="134" spans="6:17" x14ac:dyDescent="0.25">
      <c r="F134" s="22" t="str">
        <f t="shared" ref="F134:F160" si="38">IF(F133&lt;$C$4, F133+1,"")</f>
        <v/>
      </c>
      <c r="G134" s="10" t="str">
        <f t="shared" si="34"/>
        <v/>
      </c>
      <c r="H134" s="29" t="str">
        <f t="shared" si="33"/>
        <v/>
      </c>
      <c r="I134" s="10" t="str">
        <f t="shared" ref="I134:I160" si="39">IF(F133&lt;$C$4,G134+H134,"")</f>
        <v/>
      </c>
      <c r="J134" s="10" t="str">
        <f t="shared" ref="J134:J160" si="40">IF(F133&lt;$C$4,M133*$C$3,"")</f>
        <v/>
      </c>
      <c r="K134" s="10" t="str">
        <f t="shared" ref="K134:K160" si="41">IF(F133&lt;$C$4,J134-G134,"")</f>
        <v/>
      </c>
      <c r="L134" s="10" t="str">
        <f t="shared" ref="L134:L160" si="42">IF(F132&lt;$C$4-1,L133*(1+$C$6)+H134,"")</f>
        <v/>
      </c>
      <c r="M134" s="10" t="str">
        <f t="shared" ref="M134:M160" si="43">IF(F133&lt;$C$4,M133+K134,"")</f>
        <v/>
      </c>
      <c r="N134" s="10" t="str">
        <f t="shared" ref="N134:N160" si="44">IF(F133&lt;$C$4,M134-L134,"")</f>
        <v/>
      </c>
      <c r="O134" s="34" t="str">
        <f t="shared" si="35"/>
        <v/>
      </c>
      <c r="P134" s="34" t="str">
        <f t="shared" si="36"/>
        <v/>
      </c>
      <c r="Q134" s="34" t="str">
        <f t="shared" si="37"/>
        <v/>
      </c>
    </row>
    <row r="135" spans="6:17" x14ac:dyDescent="0.25">
      <c r="F135" s="22" t="str">
        <f t="shared" si="38"/>
        <v/>
      </c>
      <c r="G135" s="10" t="str">
        <f t="shared" si="34"/>
        <v/>
      </c>
      <c r="H135" s="29" t="str">
        <f t="shared" si="33"/>
        <v/>
      </c>
      <c r="I135" s="10" t="str">
        <f t="shared" si="39"/>
        <v/>
      </c>
      <c r="J135" s="10" t="str">
        <f t="shared" si="40"/>
        <v/>
      </c>
      <c r="K135" s="10" t="str">
        <f t="shared" si="41"/>
        <v/>
      </c>
      <c r="L135" s="10" t="str">
        <f t="shared" si="42"/>
        <v/>
      </c>
      <c r="M135" s="10" t="str">
        <f t="shared" si="43"/>
        <v/>
      </c>
      <c r="N135" s="10" t="str">
        <f t="shared" si="44"/>
        <v/>
      </c>
      <c r="O135" s="34" t="str">
        <f t="shared" si="35"/>
        <v/>
      </c>
      <c r="P135" s="34" t="str">
        <f t="shared" si="36"/>
        <v/>
      </c>
      <c r="Q135" s="34" t="str">
        <f t="shared" si="37"/>
        <v/>
      </c>
    </row>
    <row r="136" spans="6:17" x14ac:dyDescent="0.25">
      <c r="F136" s="22" t="str">
        <f t="shared" si="38"/>
        <v/>
      </c>
      <c r="G136" s="10" t="str">
        <f t="shared" si="34"/>
        <v/>
      </c>
      <c r="H136" s="29" t="str">
        <f t="shared" si="33"/>
        <v/>
      </c>
      <c r="I136" s="10" t="str">
        <f t="shared" si="39"/>
        <v/>
      </c>
      <c r="J136" s="10" t="str">
        <f t="shared" si="40"/>
        <v/>
      </c>
      <c r="K136" s="10" t="str">
        <f t="shared" si="41"/>
        <v/>
      </c>
      <c r="L136" s="10" t="str">
        <f t="shared" si="42"/>
        <v/>
      </c>
      <c r="M136" s="10" t="str">
        <f t="shared" si="43"/>
        <v/>
      </c>
      <c r="N136" s="10" t="str">
        <f t="shared" si="44"/>
        <v/>
      </c>
      <c r="O136" s="34" t="str">
        <f t="shared" si="35"/>
        <v/>
      </c>
      <c r="P136" s="34" t="str">
        <f t="shared" si="36"/>
        <v/>
      </c>
      <c r="Q136" s="34" t="str">
        <f t="shared" si="37"/>
        <v/>
      </c>
    </row>
    <row r="137" spans="6:17" x14ac:dyDescent="0.25">
      <c r="F137" s="22" t="str">
        <f t="shared" si="38"/>
        <v/>
      </c>
      <c r="G137" s="10" t="str">
        <f t="shared" si="34"/>
        <v/>
      </c>
      <c r="H137" s="29" t="str">
        <f t="shared" si="33"/>
        <v/>
      </c>
      <c r="I137" s="10" t="str">
        <f t="shared" si="39"/>
        <v/>
      </c>
      <c r="J137" s="10" t="str">
        <f t="shared" si="40"/>
        <v/>
      </c>
      <c r="K137" s="10" t="str">
        <f t="shared" si="41"/>
        <v/>
      </c>
      <c r="L137" s="10" t="str">
        <f t="shared" si="42"/>
        <v/>
      </c>
      <c r="M137" s="10" t="str">
        <f t="shared" si="43"/>
        <v/>
      </c>
      <c r="N137" s="10" t="str">
        <f t="shared" si="44"/>
        <v/>
      </c>
      <c r="O137" s="34" t="str">
        <f t="shared" si="35"/>
        <v/>
      </c>
      <c r="P137" s="34" t="str">
        <f t="shared" si="36"/>
        <v/>
      </c>
      <c r="Q137" s="34" t="str">
        <f t="shared" si="37"/>
        <v/>
      </c>
    </row>
    <row r="138" spans="6:17" x14ac:dyDescent="0.25">
      <c r="F138" s="22" t="str">
        <f t="shared" si="38"/>
        <v/>
      </c>
      <c r="G138" s="10" t="str">
        <f t="shared" si="34"/>
        <v/>
      </c>
      <c r="H138" s="29" t="str">
        <f t="shared" si="33"/>
        <v/>
      </c>
      <c r="I138" s="10" t="str">
        <f t="shared" si="39"/>
        <v/>
      </c>
      <c r="J138" s="10" t="str">
        <f t="shared" si="40"/>
        <v/>
      </c>
      <c r="K138" s="10" t="str">
        <f t="shared" si="41"/>
        <v/>
      </c>
      <c r="L138" s="10" t="str">
        <f t="shared" si="42"/>
        <v/>
      </c>
      <c r="M138" s="10" t="str">
        <f t="shared" si="43"/>
        <v/>
      </c>
      <c r="N138" s="10" t="str">
        <f t="shared" si="44"/>
        <v/>
      </c>
      <c r="O138" s="34" t="str">
        <f t="shared" si="35"/>
        <v/>
      </c>
      <c r="P138" s="34" t="str">
        <f t="shared" si="36"/>
        <v/>
      </c>
      <c r="Q138" s="34" t="str">
        <f t="shared" si="37"/>
        <v/>
      </c>
    </row>
    <row r="139" spans="6:17" x14ac:dyDescent="0.25">
      <c r="F139" s="22" t="str">
        <f t="shared" si="38"/>
        <v/>
      </c>
      <c r="G139" s="10" t="str">
        <f t="shared" si="34"/>
        <v/>
      </c>
      <c r="H139" s="29" t="str">
        <f t="shared" si="33"/>
        <v/>
      </c>
      <c r="I139" s="10" t="str">
        <f t="shared" si="39"/>
        <v/>
      </c>
      <c r="J139" s="10" t="str">
        <f t="shared" si="40"/>
        <v/>
      </c>
      <c r="K139" s="10" t="str">
        <f t="shared" si="41"/>
        <v/>
      </c>
      <c r="L139" s="10" t="str">
        <f t="shared" si="42"/>
        <v/>
      </c>
      <c r="M139" s="10" t="str">
        <f t="shared" si="43"/>
        <v/>
      </c>
      <c r="N139" s="10" t="str">
        <f t="shared" si="44"/>
        <v/>
      </c>
      <c r="O139" s="34" t="str">
        <f t="shared" si="35"/>
        <v/>
      </c>
      <c r="P139" s="34" t="str">
        <f t="shared" si="36"/>
        <v/>
      </c>
      <c r="Q139" s="34" t="str">
        <f t="shared" si="37"/>
        <v/>
      </c>
    </row>
    <row r="140" spans="6:17" x14ac:dyDescent="0.25">
      <c r="F140" s="22" t="str">
        <f t="shared" si="38"/>
        <v/>
      </c>
      <c r="G140" s="10" t="str">
        <f t="shared" si="34"/>
        <v/>
      </c>
      <c r="H140" s="29" t="str">
        <f t="shared" si="33"/>
        <v/>
      </c>
      <c r="I140" s="10" t="str">
        <f t="shared" si="39"/>
        <v/>
      </c>
      <c r="J140" s="10" t="str">
        <f t="shared" si="40"/>
        <v/>
      </c>
      <c r="K140" s="10" t="str">
        <f t="shared" si="41"/>
        <v/>
      </c>
      <c r="L140" s="10" t="str">
        <f t="shared" si="42"/>
        <v/>
      </c>
      <c r="M140" s="10" t="str">
        <f t="shared" si="43"/>
        <v/>
      </c>
      <c r="N140" s="10" t="str">
        <f t="shared" si="44"/>
        <v/>
      </c>
      <c r="O140" s="34" t="str">
        <f t="shared" si="35"/>
        <v/>
      </c>
      <c r="P140" s="34" t="str">
        <f t="shared" si="36"/>
        <v/>
      </c>
      <c r="Q140" s="34" t="str">
        <f t="shared" si="37"/>
        <v/>
      </c>
    </row>
    <row r="141" spans="6:17" x14ac:dyDescent="0.25">
      <c r="F141" s="22" t="str">
        <f t="shared" si="38"/>
        <v/>
      </c>
      <c r="G141" s="10" t="str">
        <f t="shared" si="34"/>
        <v/>
      </c>
      <c r="H141" s="29" t="str">
        <f t="shared" si="33"/>
        <v/>
      </c>
      <c r="I141" s="10" t="str">
        <f t="shared" si="39"/>
        <v/>
      </c>
      <c r="J141" s="10" t="str">
        <f t="shared" si="40"/>
        <v/>
      </c>
      <c r="K141" s="10" t="str">
        <f t="shared" si="41"/>
        <v/>
      </c>
      <c r="L141" s="10" t="str">
        <f t="shared" si="42"/>
        <v/>
      </c>
      <c r="M141" s="10" t="str">
        <f t="shared" si="43"/>
        <v/>
      </c>
      <c r="N141" s="10" t="str">
        <f t="shared" si="44"/>
        <v/>
      </c>
      <c r="O141" s="34" t="str">
        <f t="shared" si="35"/>
        <v/>
      </c>
      <c r="P141" s="34" t="str">
        <f t="shared" si="36"/>
        <v/>
      </c>
      <c r="Q141" s="34" t="str">
        <f t="shared" si="37"/>
        <v/>
      </c>
    </row>
    <row r="142" spans="6:17" x14ac:dyDescent="0.25">
      <c r="F142" s="22" t="str">
        <f t="shared" si="38"/>
        <v/>
      </c>
      <c r="G142" s="10" t="str">
        <f t="shared" si="34"/>
        <v/>
      </c>
      <c r="H142" s="29" t="str">
        <f t="shared" si="33"/>
        <v/>
      </c>
      <c r="I142" s="10" t="str">
        <f t="shared" si="39"/>
        <v/>
      </c>
      <c r="J142" s="10" t="str">
        <f t="shared" si="40"/>
        <v/>
      </c>
      <c r="K142" s="10" t="str">
        <f t="shared" si="41"/>
        <v/>
      </c>
      <c r="L142" s="10" t="str">
        <f t="shared" si="42"/>
        <v/>
      </c>
      <c r="M142" s="10" t="str">
        <f t="shared" si="43"/>
        <v/>
      </c>
      <c r="N142" s="10" t="str">
        <f t="shared" si="44"/>
        <v/>
      </c>
      <c r="O142" s="34" t="str">
        <f t="shared" si="35"/>
        <v/>
      </c>
      <c r="P142" s="34" t="str">
        <f t="shared" si="36"/>
        <v/>
      </c>
      <c r="Q142" s="34" t="str">
        <f t="shared" si="37"/>
        <v/>
      </c>
    </row>
    <row r="143" spans="6:17" x14ac:dyDescent="0.25">
      <c r="F143" s="22" t="str">
        <f t="shared" si="38"/>
        <v/>
      </c>
      <c r="G143" s="10" t="str">
        <f t="shared" si="34"/>
        <v/>
      </c>
      <c r="H143" s="29" t="str">
        <f t="shared" si="33"/>
        <v/>
      </c>
      <c r="I143" s="10" t="str">
        <f t="shared" si="39"/>
        <v/>
      </c>
      <c r="J143" s="10" t="str">
        <f t="shared" si="40"/>
        <v/>
      </c>
      <c r="K143" s="10" t="str">
        <f t="shared" si="41"/>
        <v/>
      </c>
      <c r="L143" s="10" t="str">
        <f t="shared" si="42"/>
        <v/>
      </c>
      <c r="M143" s="10" t="str">
        <f t="shared" si="43"/>
        <v/>
      </c>
      <c r="N143" s="10" t="str">
        <f t="shared" si="44"/>
        <v/>
      </c>
      <c r="O143" s="34" t="str">
        <f t="shared" si="35"/>
        <v/>
      </c>
      <c r="P143" s="34" t="str">
        <f t="shared" si="36"/>
        <v/>
      </c>
      <c r="Q143" s="34" t="str">
        <f t="shared" si="37"/>
        <v/>
      </c>
    </row>
    <row r="144" spans="6:17" x14ac:dyDescent="0.25">
      <c r="F144" s="22" t="str">
        <f t="shared" si="38"/>
        <v/>
      </c>
      <c r="G144" s="10" t="str">
        <f t="shared" si="34"/>
        <v/>
      </c>
      <c r="H144" s="29" t="str">
        <f t="shared" si="33"/>
        <v/>
      </c>
      <c r="I144" s="10" t="str">
        <f t="shared" si="39"/>
        <v/>
      </c>
      <c r="J144" s="10" t="str">
        <f t="shared" si="40"/>
        <v/>
      </c>
      <c r="K144" s="10" t="str">
        <f t="shared" si="41"/>
        <v/>
      </c>
      <c r="L144" s="10" t="str">
        <f t="shared" si="42"/>
        <v/>
      </c>
      <c r="M144" s="10" t="str">
        <f t="shared" si="43"/>
        <v/>
      </c>
      <c r="N144" s="10" t="str">
        <f t="shared" si="44"/>
        <v/>
      </c>
      <c r="O144" s="34" t="str">
        <f t="shared" si="35"/>
        <v/>
      </c>
      <c r="P144" s="34" t="str">
        <f t="shared" si="36"/>
        <v/>
      </c>
      <c r="Q144" s="34" t="str">
        <f t="shared" si="37"/>
        <v/>
      </c>
    </row>
    <row r="145" spans="6:17" x14ac:dyDescent="0.25">
      <c r="F145" s="22" t="str">
        <f t="shared" si="38"/>
        <v/>
      </c>
      <c r="G145" s="10" t="str">
        <f t="shared" si="34"/>
        <v/>
      </c>
      <c r="H145" s="29" t="str">
        <f t="shared" si="33"/>
        <v/>
      </c>
      <c r="I145" s="10" t="str">
        <f t="shared" si="39"/>
        <v/>
      </c>
      <c r="J145" s="10" t="str">
        <f t="shared" si="40"/>
        <v/>
      </c>
      <c r="K145" s="10" t="str">
        <f t="shared" si="41"/>
        <v/>
      </c>
      <c r="L145" s="10" t="str">
        <f t="shared" si="42"/>
        <v/>
      </c>
      <c r="M145" s="10" t="str">
        <f t="shared" si="43"/>
        <v/>
      </c>
      <c r="N145" s="10" t="str">
        <f t="shared" si="44"/>
        <v/>
      </c>
      <c r="O145" s="34" t="str">
        <f t="shared" si="35"/>
        <v/>
      </c>
      <c r="P145" s="34" t="str">
        <f t="shared" si="36"/>
        <v/>
      </c>
      <c r="Q145" s="34" t="str">
        <f t="shared" si="37"/>
        <v/>
      </c>
    </row>
    <row r="146" spans="6:17" x14ac:dyDescent="0.25">
      <c r="F146" s="22" t="str">
        <f t="shared" si="38"/>
        <v/>
      </c>
      <c r="G146" s="10" t="str">
        <f t="shared" si="34"/>
        <v/>
      </c>
      <c r="H146" s="29" t="str">
        <f t="shared" si="33"/>
        <v/>
      </c>
      <c r="I146" s="10" t="str">
        <f t="shared" si="39"/>
        <v/>
      </c>
      <c r="J146" s="10" t="str">
        <f t="shared" si="40"/>
        <v/>
      </c>
      <c r="K146" s="10" t="str">
        <f t="shared" si="41"/>
        <v/>
      </c>
      <c r="L146" s="10" t="str">
        <f t="shared" si="42"/>
        <v/>
      </c>
      <c r="M146" s="10" t="str">
        <f t="shared" si="43"/>
        <v/>
      </c>
      <c r="N146" s="10" t="str">
        <f t="shared" si="44"/>
        <v/>
      </c>
      <c r="O146" s="34" t="str">
        <f t="shared" si="35"/>
        <v/>
      </c>
      <c r="P146" s="34" t="str">
        <f t="shared" si="36"/>
        <v/>
      </c>
      <c r="Q146" s="34" t="str">
        <f t="shared" si="37"/>
        <v/>
      </c>
    </row>
    <row r="147" spans="6:17" x14ac:dyDescent="0.25">
      <c r="F147" s="22" t="str">
        <f t="shared" si="38"/>
        <v/>
      </c>
      <c r="G147" s="10" t="str">
        <f t="shared" si="34"/>
        <v/>
      </c>
      <c r="H147" s="29" t="str">
        <f t="shared" si="33"/>
        <v/>
      </c>
      <c r="I147" s="10" t="str">
        <f t="shared" si="39"/>
        <v/>
      </c>
      <c r="J147" s="10" t="str">
        <f t="shared" si="40"/>
        <v/>
      </c>
      <c r="K147" s="10" t="str">
        <f t="shared" si="41"/>
        <v/>
      </c>
      <c r="L147" s="10" t="str">
        <f t="shared" si="42"/>
        <v/>
      </c>
      <c r="M147" s="10" t="str">
        <f t="shared" si="43"/>
        <v/>
      </c>
      <c r="N147" s="10" t="str">
        <f t="shared" si="44"/>
        <v/>
      </c>
      <c r="O147" s="34" t="str">
        <f t="shared" si="35"/>
        <v/>
      </c>
      <c r="P147" s="34" t="str">
        <f t="shared" si="36"/>
        <v/>
      </c>
      <c r="Q147" s="34" t="str">
        <f t="shared" si="37"/>
        <v/>
      </c>
    </row>
    <row r="148" spans="6:17" x14ac:dyDescent="0.25">
      <c r="F148" s="22" t="str">
        <f t="shared" si="38"/>
        <v/>
      </c>
      <c r="G148" s="10" t="str">
        <f t="shared" si="34"/>
        <v/>
      </c>
      <c r="H148" s="29" t="str">
        <f t="shared" si="33"/>
        <v/>
      </c>
      <c r="I148" s="10" t="str">
        <f t="shared" si="39"/>
        <v/>
      </c>
      <c r="J148" s="10" t="str">
        <f t="shared" si="40"/>
        <v/>
      </c>
      <c r="K148" s="10" t="str">
        <f t="shared" si="41"/>
        <v/>
      </c>
      <c r="L148" s="10" t="str">
        <f t="shared" si="42"/>
        <v/>
      </c>
      <c r="M148" s="10" t="str">
        <f t="shared" si="43"/>
        <v/>
      </c>
      <c r="N148" s="10" t="str">
        <f t="shared" si="44"/>
        <v/>
      </c>
      <c r="O148" s="34" t="str">
        <f t="shared" si="35"/>
        <v/>
      </c>
      <c r="P148" s="34" t="str">
        <f t="shared" si="36"/>
        <v/>
      </c>
      <c r="Q148" s="34" t="str">
        <f t="shared" si="37"/>
        <v/>
      </c>
    </row>
    <row r="149" spans="6:17" x14ac:dyDescent="0.25">
      <c r="F149" s="22" t="str">
        <f t="shared" si="38"/>
        <v/>
      </c>
      <c r="G149" s="10" t="str">
        <f t="shared" si="34"/>
        <v/>
      </c>
      <c r="H149" s="29" t="str">
        <f t="shared" si="33"/>
        <v/>
      </c>
      <c r="I149" s="10" t="str">
        <f t="shared" si="39"/>
        <v/>
      </c>
      <c r="J149" s="10" t="str">
        <f t="shared" si="40"/>
        <v/>
      </c>
      <c r="K149" s="10" t="str">
        <f t="shared" si="41"/>
        <v/>
      </c>
      <c r="L149" s="10" t="str">
        <f t="shared" si="42"/>
        <v/>
      </c>
      <c r="M149" s="10" t="str">
        <f t="shared" si="43"/>
        <v/>
      </c>
      <c r="N149" s="10" t="str">
        <f t="shared" si="44"/>
        <v/>
      </c>
      <c r="O149" s="34" t="str">
        <f t="shared" si="35"/>
        <v/>
      </c>
      <c r="P149" s="34" t="str">
        <f t="shared" si="36"/>
        <v/>
      </c>
      <c r="Q149" s="34" t="str">
        <f t="shared" si="37"/>
        <v/>
      </c>
    </row>
    <row r="150" spans="6:17" x14ac:dyDescent="0.25">
      <c r="F150" s="22" t="str">
        <f t="shared" si="38"/>
        <v/>
      </c>
      <c r="G150" s="10" t="str">
        <f t="shared" si="34"/>
        <v/>
      </c>
      <c r="H150" s="29" t="str">
        <f t="shared" si="33"/>
        <v/>
      </c>
      <c r="I150" s="10" t="str">
        <f t="shared" si="39"/>
        <v/>
      </c>
      <c r="J150" s="10" t="str">
        <f t="shared" si="40"/>
        <v/>
      </c>
      <c r="K150" s="10" t="str">
        <f t="shared" si="41"/>
        <v/>
      </c>
      <c r="L150" s="10" t="str">
        <f t="shared" si="42"/>
        <v/>
      </c>
      <c r="M150" s="10" t="str">
        <f t="shared" si="43"/>
        <v/>
      </c>
      <c r="N150" s="10" t="str">
        <f t="shared" si="44"/>
        <v/>
      </c>
      <c r="O150" s="34" t="str">
        <f t="shared" si="35"/>
        <v/>
      </c>
      <c r="P150" s="34" t="str">
        <f t="shared" si="36"/>
        <v/>
      </c>
      <c r="Q150" s="34" t="str">
        <f t="shared" si="37"/>
        <v/>
      </c>
    </row>
    <row r="151" spans="6:17" x14ac:dyDescent="0.25">
      <c r="F151" s="22" t="str">
        <f t="shared" si="38"/>
        <v/>
      </c>
      <c r="G151" s="10" t="str">
        <f t="shared" si="34"/>
        <v/>
      </c>
      <c r="H151" s="29" t="str">
        <f t="shared" si="33"/>
        <v/>
      </c>
      <c r="I151" s="10" t="str">
        <f t="shared" si="39"/>
        <v/>
      </c>
      <c r="J151" s="10" t="str">
        <f t="shared" si="40"/>
        <v/>
      </c>
      <c r="K151" s="10" t="str">
        <f t="shared" si="41"/>
        <v/>
      </c>
      <c r="L151" s="10" t="str">
        <f t="shared" si="42"/>
        <v/>
      </c>
      <c r="M151" s="10" t="str">
        <f t="shared" si="43"/>
        <v/>
      </c>
      <c r="N151" s="10" t="str">
        <f t="shared" si="44"/>
        <v/>
      </c>
      <c r="O151" s="34" t="str">
        <f t="shared" si="35"/>
        <v/>
      </c>
      <c r="P151" s="34" t="str">
        <f t="shared" si="36"/>
        <v/>
      </c>
      <c r="Q151" s="34" t="str">
        <f t="shared" si="37"/>
        <v/>
      </c>
    </row>
    <row r="152" spans="6:17" x14ac:dyDescent="0.25">
      <c r="F152" s="22" t="str">
        <f t="shared" si="38"/>
        <v/>
      </c>
      <c r="G152" s="10" t="str">
        <f t="shared" si="34"/>
        <v/>
      </c>
      <c r="H152" s="29" t="str">
        <f t="shared" si="33"/>
        <v/>
      </c>
      <c r="I152" s="10" t="str">
        <f t="shared" si="39"/>
        <v/>
      </c>
      <c r="J152" s="10" t="str">
        <f t="shared" si="40"/>
        <v/>
      </c>
      <c r="K152" s="10" t="str">
        <f t="shared" si="41"/>
        <v/>
      </c>
      <c r="L152" s="10" t="str">
        <f t="shared" si="42"/>
        <v/>
      </c>
      <c r="M152" s="10" t="str">
        <f t="shared" si="43"/>
        <v/>
      </c>
      <c r="N152" s="10" t="str">
        <f t="shared" si="44"/>
        <v/>
      </c>
      <c r="O152" s="34" t="str">
        <f t="shared" si="35"/>
        <v/>
      </c>
      <c r="P152" s="34" t="str">
        <f t="shared" si="36"/>
        <v/>
      </c>
      <c r="Q152" s="34" t="str">
        <f t="shared" si="37"/>
        <v/>
      </c>
    </row>
    <row r="153" spans="6:17" x14ac:dyDescent="0.25">
      <c r="F153" s="22" t="str">
        <f t="shared" si="38"/>
        <v/>
      </c>
      <c r="G153" s="10" t="str">
        <f t="shared" si="34"/>
        <v/>
      </c>
      <c r="H153" s="29" t="str">
        <f t="shared" si="33"/>
        <v/>
      </c>
      <c r="I153" s="10" t="str">
        <f t="shared" si="39"/>
        <v/>
      </c>
      <c r="J153" s="10" t="str">
        <f t="shared" si="40"/>
        <v/>
      </c>
      <c r="K153" s="10" t="str">
        <f t="shared" si="41"/>
        <v/>
      </c>
      <c r="L153" s="10" t="str">
        <f t="shared" si="42"/>
        <v/>
      </c>
      <c r="M153" s="10" t="str">
        <f t="shared" si="43"/>
        <v/>
      </c>
      <c r="N153" s="10" t="str">
        <f t="shared" si="44"/>
        <v/>
      </c>
      <c r="O153" s="34" t="str">
        <f t="shared" si="35"/>
        <v/>
      </c>
      <c r="P153" s="34" t="str">
        <f t="shared" si="36"/>
        <v/>
      </c>
      <c r="Q153" s="34" t="str">
        <f t="shared" si="37"/>
        <v/>
      </c>
    </row>
    <row r="154" spans="6:17" x14ac:dyDescent="0.25">
      <c r="F154" s="22" t="str">
        <f t="shared" si="38"/>
        <v/>
      </c>
      <c r="G154" s="10" t="str">
        <f t="shared" si="34"/>
        <v/>
      </c>
      <c r="H154" s="29" t="str">
        <f t="shared" si="33"/>
        <v/>
      </c>
      <c r="I154" s="10" t="str">
        <f t="shared" si="39"/>
        <v/>
      </c>
      <c r="J154" s="10" t="str">
        <f t="shared" si="40"/>
        <v/>
      </c>
      <c r="K154" s="10" t="str">
        <f t="shared" si="41"/>
        <v/>
      </c>
      <c r="L154" s="10" t="str">
        <f t="shared" si="42"/>
        <v/>
      </c>
      <c r="M154" s="10" t="str">
        <f t="shared" si="43"/>
        <v/>
      </c>
      <c r="N154" s="10" t="str">
        <f t="shared" si="44"/>
        <v/>
      </c>
      <c r="O154" s="34" t="str">
        <f t="shared" si="35"/>
        <v/>
      </c>
      <c r="P154" s="34" t="str">
        <f t="shared" si="36"/>
        <v/>
      </c>
      <c r="Q154" s="34" t="str">
        <f t="shared" si="37"/>
        <v/>
      </c>
    </row>
    <row r="155" spans="6:17" x14ac:dyDescent="0.25">
      <c r="F155" s="22" t="str">
        <f t="shared" si="38"/>
        <v/>
      </c>
      <c r="G155" s="10" t="str">
        <f t="shared" si="34"/>
        <v/>
      </c>
      <c r="H155" s="29" t="str">
        <f t="shared" si="33"/>
        <v/>
      </c>
      <c r="I155" s="10" t="str">
        <f t="shared" si="39"/>
        <v/>
      </c>
      <c r="J155" s="10" t="str">
        <f t="shared" si="40"/>
        <v/>
      </c>
      <c r="K155" s="10" t="str">
        <f t="shared" si="41"/>
        <v/>
      </c>
      <c r="L155" s="10" t="str">
        <f t="shared" si="42"/>
        <v/>
      </c>
      <c r="M155" s="10" t="str">
        <f t="shared" si="43"/>
        <v/>
      </c>
      <c r="N155" s="10" t="str">
        <f t="shared" si="44"/>
        <v/>
      </c>
      <c r="O155" s="34" t="str">
        <f t="shared" si="35"/>
        <v/>
      </c>
      <c r="P155" s="34" t="str">
        <f t="shared" si="36"/>
        <v/>
      </c>
      <c r="Q155" s="34" t="str">
        <f t="shared" si="37"/>
        <v/>
      </c>
    </row>
    <row r="156" spans="6:17" x14ac:dyDescent="0.25">
      <c r="F156" s="22" t="str">
        <f t="shared" si="38"/>
        <v/>
      </c>
      <c r="G156" s="10" t="str">
        <f t="shared" si="34"/>
        <v/>
      </c>
      <c r="H156" s="29" t="str">
        <f t="shared" si="33"/>
        <v/>
      </c>
      <c r="I156" s="10" t="str">
        <f t="shared" si="39"/>
        <v/>
      </c>
      <c r="J156" s="10" t="str">
        <f t="shared" si="40"/>
        <v/>
      </c>
      <c r="K156" s="10" t="str">
        <f t="shared" si="41"/>
        <v/>
      </c>
      <c r="L156" s="10" t="str">
        <f t="shared" si="42"/>
        <v/>
      </c>
      <c r="M156" s="10" t="str">
        <f t="shared" si="43"/>
        <v/>
      </c>
      <c r="N156" s="10" t="str">
        <f t="shared" si="44"/>
        <v/>
      </c>
      <c r="O156" s="34" t="str">
        <f t="shared" si="35"/>
        <v/>
      </c>
      <c r="P156" s="34" t="str">
        <f t="shared" si="36"/>
        <v/>
      </c>
      <c r="Q156" s="34" t="str">
        <f t="shared" si="37"/>
        <v/>
      </c>
    </row>
    <row r="157" spans="6:17" x14ac:dyDescent="0.25">
      <c r="F157" s="22" t="str">
        <f t="shared" si="38"/>
        <v/>
      </c>
      <c r="G157" s="10" t="str">
        <f t="shared" si="34"/>
        <v/>
      </c>
      <c r="H157" s="29" t="str">
        <f t="shared" si="33"/>
        <v/>
      </c>
      <c r="I157" s="10" t="str">
        <f t="shared" si="39"/>
        <v/>
      </c>
      <c r="J157" s="10" t="str">
        <f t="shared" si="40"/>
        <v/>
      </c>
      <c r="K157" s="10" t="str">
        <f t="shared" si="41"/>
        <v/>
      </c>
      <c r="L157" s="10" t="str">
        <f t="shared" si="42"/>
        <v/>
      </c>
      <c r="M157" s="10" t="str">
        <f t="shared" si="43"/>
        <v/>
      </c>
      <c r="N157" s="10" t="str">
        <f t="shared" si="44"/>
        <v/>
      </c>
      <c r="O157" s="34" t="str">
        <f t="shared" si="35"/>
        <v/>
      </c>
      <c r="P157" s="34" t="str">
        <f t="shared" si="36"/>
        <v/>
      </c>
      <c r="Q157" s="34" t="str">
        <f t="shared" si="37"/>
        <v/>
      </c>
    </row>
    <row r="158" spans="6:17" x14ac:dyDescent="0.25">
      <c r="F158" s="22" t="str">
        <f t="shared" si="38"/>
        <v/>
      </c>
      <c r="G158" s="10" t="str">
        <f t="shared" si="34"/>
        <v/>
      </c>
      <c r="H158" s="29" t="str">
        <f t="shared" si="33"/>
        <v/>
      </c>
      <c r="I158" s="10" t="str">
        <f t="shared" si="39"/>
        <v/>
      </c>
      <c r="J158" s="10" t="str">
        <f t="shared" si="40"/>
        <v/>
      </c>
      <c r="K158" s="10" t="str">
        <f t="shared" si="41"/>
        <v/>
      </c>
      <c r="L158" s="10" t="str">
        <f t="shared" si="42"/>
        <v/>
      </c>
      <c r="M158" s="10" t="str">
        <f t="shared" si="43"/>
        <v/>
      </c>
      <c r="N158" s="10" t="str">
        <f t="shared" si="44"/>
        <v/>
      </c>
      <c r="O158" s="34" t="str">
        <f t="shared" si="35"/>
        <v/>
      </c>
      <c r="P158" s="34" t="str">
        <f t="shared" si="36"/>
        <v/>
      </c>
      <c r="Q158" s="34" t="str">
        <f t="shared" si="37"/>
        <v/>
      </c>
    </row>
    <row r="159" spans="6:17" x14ac:dyDescent="0.25">
      <c r="F159" s="22" t="str">
        <f t="shared" si="38"/>
        <v/>
      </c>
      <c r="G159" s="10" t="str">
        <f t="shared" si="34"/>
        <v/>
      </c>
      <c r="H159" s="29" t="str">
        <f t="shared" si="33"/>
        <v/>
      </c>
      <c r="I159" s="10" t="str">
        <f t="shared" si="39"/>
        <v/>
      </c>
      <c r="J159" s="10" t="str">
        <f t="shared" si="40"/>
        <v/>
      </c>
      <c r="K159" s="10" t="str">
        <f t="shared" si="41"/>
        <v/>
      </c>
      <c r="L159" s="10" t="str">
        <f t="shared" si="42"/>
        <v/>
      </c>
      <c r="M159" s="10" t="str">
        <f t="shared" si="43"/>
        <v/>
      </c>
      <c r="N159" s="10" t="str">
        <f t="shared" si="44"/>
        <v/>
      </c>
      <c r="O159" s="34" t="str">
        <f t="shared" si="35"/>
        <v/>
      </c>
      <c r="P159" s="34" t="str">
        <f t="shared" si="36"/>
        <v/>
      </c>
      <c r="Q159" s="34" t="str">
        <f t="shared" si="37"/>
        <v/>
      </c>
    </row>
    <row r="160" spans="6:17" x14ac:dyDescent="0.25">
      <c r="F160" s="22" t="str">
        <f t="shared" si="38"/>
        <v/>
      </c>
      <c r="G160" s="10" t="str">
        <f t="shared" si="34"/>
        <v/>
      </c>
      <c r="H160" s="29" t="str">
        <f t="shared" si="33"/>
        <v/>
      </c>
      <c r="I160" s="10" t="str">
        <f t="shared" si="39"/>
        <v/>
      </c>
      <c r="J160" s="10" t="str">
        <f t="shared" si="40"/>
        <v/>
      </c>
      <c r="K160" s="10" t="str">
        <f t="shared" si="41"/>
        <v/>
      </c>
      <c r="L160" s="10" t="str">
        <f t="shared" si="42"/>
        <v/>
      </c>
      <c r="M160" s="10" t="str">
        <f t="shared" si="43"/>
        <v/>
      </c>
      <c r="N160" s="10" t="str">
        <f t="shared" si="44"/>
        <v/>
      </c>
      <c r="O160" s="34" t="str">
        <f t="shared" si="35"/>
        <v/>
      </c>
      <c r="P160" s="34" t="str">
        <f t="shared" si="36"/>
        <v/>
      </c>
      <c r="Q160" s="34" t="str">
        <f t="shared" si="37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34876-C037-4BAE-B94B-0DAD048B28BD}">
  <dimension ref="A1:R105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3.28515625" bestFit="1" customWidth="1"/>
    <col min="2" max="2" width="3.42578125" bestFit="1" customWidth="1"/>
    <col min="3" max="3" width="10.42578125" bestFit="1" customWidth="1"/>
    <col min="7" max="8" width="15.42578125" customWidth="1"/>
    <col min="9" max="10" width="25.42578125" customWidth="1"/>
    <col min="14" max="14" width="12.28515625" bestFit="1" customWidth="1"/>
    <col min="15" max="15" width="20" bestFit="1" customWidth="1"/>
    <col min="16" max="16" width="11" bestFit="1" customWidth="1"/>
  </cols>
  <sheetData>
    <row r="1" spans="1:16" x14ac:dyDescent="0.25">
      <c r="A1" s="1" t="s">
        <v>13</v>
      </c>
      <c r="B1" s="1"/>
      <c r="C1" s="1"/>
      <c r="D1" s="1"/>
      <c r="E1" s="1" t="s">
        <v>17</v>
      </c>
    </row>
    <row r="2" spans="1:16" x14ac:dyDescent="0.25">
      <c r="A2" s="1"/>
      <c r="B2" s="2" t="s">
        <v>25</v>
      </c>
      <c r="C2" s="13">
        <v>1000</v>
      </c>
      <c r="D2" s="1"/>
      <c r="E2" s="1"/>
      <c r="F2" s="8" t="s">
        <v>0</v>
      </c>
      <c r="G2" s="8" t="s">
        <v>28</v>
      </c>
      <c r="H2" s="8" t="s">
        <v>2</v>
      </c>
      <c r="I2" s="7" t="s">
        <v>23</v>
      </c>
      <c r="J2" s="8" t="s">
        <v>29</v>
      </c>
    </row>
    <row r="3" spans="1:16" x14ac:dyDescent="0.25">
      <c r="A3" s="1"/>
      <c r="B3" s="2" t="s">
        <v>26</v>
      </c>
      <c r="C3" s="14">
        <v>0.05</v>
      </c>
      <c r="D3" s="1"/>
      <c r="E3" s="1"/>
      <c r="F3" s="9">
        <v>0</v>
      </c>
      <c r="G3" s="17"/>
      <c r="H3" s="17"/>
      <c r="I3" s="17"/>
      <c r="J3" s="18">
        <f>IF(F3&lt;$C$4, $C$5+($C$5*($C$9-$C$6)*((1-(1+$C$6)^-($C$4-F3))/$C$6)),"")</f>
        <v>898.47939064009711</v>
      </c>
      <c r="L3" s="9"/>
      <c r="M3" s="17"/>
      <c r="N3" s="17"/>
      <c r="O3" s="17"/>
      <c r="P3" s="18"/>
    </row>
    <row r="4" spans="1:16" x14ac:dyDescent="0.25">
      <c r="A4" s="1"/>
      <c r="B4" s="2" t="s">
        <v>6</v>
      </c>
      <c r="C4" s="15">
        <v>10</v>
      </c>
      <c r="D4" s="1"/>
      <c r="E4" s="1"/>
      <c r="F4" s="9">
        <f>IF(F3&lt;$C$4, F3+1,"")</f>
        <v>1</v>
      </c>
      <c r="G4" s="18">
        <f>IF(F3&lt;$C$4,$C$2*$C$3,"")</f>
        <v>50</v>
      </c>
      <c r="H4" s="18">
        <f>IF(F3&lt;$C$4, ($C$5*$C$9) -($C$5*($C$9-$C$6)*((1+$C$6)^-($C$4-F4+1))),"")</f>
        <v>53.908763438405828</v>
      </c>
      <c r="I4" s="18">
        <f>IF(F3&lt;$C$4,G4-H4,"")</f>
        <v>-3.9087634384058276</v>
      </c>
      <c r="J4" s="18">
        <f>IF(F3&lt;$C$4, $C$5+($C$5*($C$9-$C$6)*((1-(1+$C$6)^-($C$4-F4))/$C$6)),"")</f>
        <v>902.38815407850291</v>
      </c>
      <c r="L4" s="9"/>
      <c r="M4" s="18"/>
      <c r="N4" s="18"/>
      <c r="O4" s="18"/>
      <c r="P4" s="18"/>
    </row>
    <row r="5" spans="1:16" x14ac:dyDescent="0.25">
      <c r="A5" s="1"/>
      <c r="B5" s="2" t="s">
        <v>27</v>
      </c>
      <c r="C5" s="13">
        <v>950</v>
      </c>
      <c r="D5" s="1"/>
      <c r="E5" s="1"/>
      <c r="F5" s="9">
        <f t="shared" ref="F5:F68" si="0">IF(F4&lt;$C$4, F4+1,"")</f>
        <v>2</v>
      </c>
      <c r="G5" s="18">
        <f>IF(F4&lt;$C$4,$C$2*$C$3,"")</f>
        <v>50</v>
      </c>
      <c r="H5" s="18">
        <f t="shared" ref="H5:H68" si="1">IF(F4&lt;$C$4, ($C$5*$C$9) -($C$5*($C$9-$C$6)*((1+$C$6)^-($C$4-F5+1))),"")</f>
        <v>54.143289244710175</v>
      </c>
      <c r="I5" s="18">
        <f t="shared" ref="I5:I68" si="2">IF(F4&lt;$C$4,G5-H5,"")</f>
        <v>-4.143289244710175</v>
      </c>
      <c r="J5" s="18">
        <f t="shared" ref="J5:J68" si="3">IF(F4&lt;$C$4, $C$5+($C$5*($C$9-$C$6)*((1-(1+$C$6)^-($C$4-F5))/$C$6)),"")</f>
        <v>906.53144332321313</v>
      </c>
      <c r="L5" s="9"/>
      <c r="M5" s="18"/>
      <c r="N5" s="18"/>
      <c r="O5" s="18"/>
      <c r="P5" s="18"/>
    </row>
    <row r="6" spans="1:16" x14ac:dyDescent="0.25">
      <c r="B6" s="2" t="s">
        <v>14</v>
      </c>
      <c r="C6" s="14">
        <v>0.06</v>
      </c>
      <c r="F6" s="9">
        <f t="shared" si="0"/>
        <v>3</v>
      </c>
      <c r="G6" s="18">
        <f t="shared" ref="G6:G68" si="4">IF(F5&lt;$C$4,$C$2*$C$3,"")</f>
        <v>50</v>
      </c>
      <c r="H6" s="18">
        <f t="shared" si="1"/>
        <v>54.391886599392784</v>
      </c>
      <c r="I6" s="18">
        <f t="shared" si="2"/>
        <v>-4.3918865993927838</v>
      </c>
      <c r="J6" s="18">
        <f t="shared" si="3"/>
        <v>910.92332992260583</v>
      </c>
      <c r="L6" s="9"/>
      <c r="M6" s="18"/>
      <c r="N6" s="18"/>
      <c r="O6" s="18"/>
      <c r="P6" s="18"/>
    </row>
    <row r="7" spans="1:16" x14ac:dyDescent="0.25">
      <c r="F7" s="9">
        <f t="shared" si="0"/>
        <v>4</v>
      </c>
      <c r="G7" s="18">
        <f t="shared" si="4"/>
        <v>50</v>
      </c>
      <c r="H7" s="18">
        <f t="shared" si="1"/>
        <v>54.655399795356352</v>
      </c>
      <c r="I7" s="18">
        <f t="shared" si="2"/>
        <v>-4.6553997953563524</v>
      </c>
      <c r="J7" s="18">
        <f t="shared" si="3"/>
        <v>915.57872971796223</v>
      </c>
      <c r="L7" s="9"/>
      <c r="M7" s="18"/>
      <c r="N7" s="18"/>
      <c r="O7" s="18"/>
      <c r="P7" s="18"/>
    </row>
    <row r="8" spans="1:16" x14ac:dyDescent="0.25">
      <c r="F8" s="9">
        <f t="shared" si="0"/>
        <v>5</v>
      </c>
      <c r="G8" s="18">
        <f t="shared" si="4"/>
        <v>50</v>
      </c>
      <c r="H8" s="18">
        <f t="shared" si="1"/>
        <v>54.934723783077736</v>
      </c>
      <c r="I8" s="18">
        <f t="shared" si="2"/>
        <v>-4.934723783077736</v>
      </c>
      <c r="J8" s="18">
        <f t="shared" si="3"/>
        <v>920.51345350103998</v>
      </c>
      <c r="L8" s="9"/>
      <c r="M8" s="18"/>
      <c r="N8" s="18"/>
      <c r="O8" s="18"/>
      <c r="P8" s="18"/>
    </row>
    <row r="9" spans="1:16" x14ac:dyDescent="0.25">
      <c r="A9" t="s">
        <v>36</v>
      </c>
      <c r="B9" s="2" t="s">
        <v>35</v>
      </c>
      <c r="C9" s="27">
        <f>$C$2*$C$3/$C$5</f>
        <v>5.2631578947368418E-2</v>
      </c>
      <c r="F9" s="9">
        <f t="shared" si="0"/>
        <v>6</v>
      </c>
      <c r="G9" s="18">
        <f>IF(F8&lt;$C$4,$C$2*$C$3,"")</f>
        <v>50</v>
      </c>
      <c r="H9" s="18">
        <f t="shared" si="1"/>
        <v>55.230807210062402</v>
      </c>
      <c r="I9" s="18">
        <f t="shared" si="2"/>
        <v>-5.2308072100624017</v>
      </c>
      <c r="J9" s="18">
        <f t="shared" si="3"/>
        <v>925.74426071110236</v>
      </c>
      <c r="L9" s="9"/>
      <c r="M9" s="18"/>
      <c r="N9" s="18"/>
      <c r="O9" s="18"/>
      <c r="P9" s="18"/>
    </row>
    <row r="10" spans="1:16" x14ac:dyDescent="0.25">
      <c r="F10" s="9">
        <f t="shared" si="0"/>
        <v>7</v>
      </c>
      <c r="G10" s="18">
        <f t="shared" si="4"/>
        <v>50</v>
      </c>
      <c r="H10" s="18">
        <f t="shared" si="1"/>
        <v>55.544655642666143</v>
      </c>
      <c r="I10" s="18">
        <f t="shared" si="2"/>
        <v>-5.5446556426661431</v>
      </c>
      <c r="J10" s="18">
        <f t="shared" si="3"/>
        <v>931.28891635376851</v>
      </c>
      <c r="L10" s="9"/>
      <c r="M10" s="18"/>
      <c r="N10" s="18"/>
      <c r="O10" s="18"/>
      <c r="P10" s="18"/>
    </row>
    <row r="11" spans="1:16" x14ac:dyDescent="0.25">
      <c r="A11" s="26"/>
      <c r="F11" s="9">
        <f t="shared" si="0"/>
        <v>8</v>
      </c>
      <c r="G11" s="18">
        <f t="shared" si="4"/>
        <v>50</v>
      </c>
      <c r="H11" s="18">
        <f t="shared" si="1"/>
        <v>55.877334981226113</v>
      </c>
      <c r="I11" s="18">
        <f t="shared" si="2"/>
        <v>-5.8773349812261131</v>
      </c>
      <c r="J11" s="18">
        <f t="shared" si="3"/>
        <v>937.16625133499463</v>
      </c>
      <c r="L11" s="9"/>
      <c r="M11" s="18"/>
      <c r="N11" s="18"/>
      <c r="O11" s="18"/>
      <c r="P11" s="18"/>
    </row>
    <row r="12" spans="1:16" x14ac:dyDescent="0.25">
      <c r="F12" s="9">
        <f t="shared" si="0"/>
        <v>9</v>
      </c>
      <c r="G12" s="18">
        <f t="shared" si="4"/>
        <v>50</v>
      </c>
      <c r="H12" s="18">
        <f t="shared" si="1"/>
        <v>56.229975080099678</v>
      </c>
      <c r="I12" s="18">
        <f t="shared" si="2"/>
        <v>-6.2299750800996776</v>
      </c>
      <c r="J12" s="18">
        <f t="shared" si="3"/>
        <v>943.39622641509436</v>
      </c>
      <c r="L12" s="9"/>
      <c r="M12" s="18"/>
      <c r="N12" s="18"/>
      <c r="O12" s="18"/>
      <c r="P12" s="18"/>
    </row>
    <row r="13" spans="1:16" x14ac:dyDescent="0.25">
      <c r="A13" s="26"/>
      <c r="F13" s="9">
        <f t="shared" si="0"/>
        <v>10</v>
      </c>
      <c r="G13" s="18">
        <f t="shared" si="4"/>
        <v>50</v>
      </c>
      <c r="H13" s="18">
        <f t="shared" si="1"/>
        <v>56.60377358490566</v>
      </c>
      <c r="I13" s="18">
        <f t="shared" si="2"/>
        <v>-6.6037735849056602</v>
      </c>
      <c r="J13" s="18">
        <f t="shared" si="3"/>
        <v>950</v>
      </c>
      <c r="L13" s="9"/>
      <c r="M13" s="18"/>
      <c r="N13" s="18"/>
      <c r="O13" s="18"/>
      <c r="P13" s="18"/>
    </row>
    <row r="14" spans="1:16" x14ac:dyDescent="0.25">
      <c r="F14" s="9" t="str">
        <f t="shared" si="0"/>
        <v/>
      </c>
      <c r="G14" s="18" t="str">
        <f t="shared" si="4"/>
        <v/>
      </c>
      <c r="H14" s="18" t="str">
        <f t="shared" si="1"/>
        <v/>
      </c>
      <c r="I14" s="18" t="str">
        <f t="shared" si="2"/>
        <v/>
      </c>
      <c r="J14" s="18" t="str">
        <f t="shared" si="3"/>
        <v/>
      </c>
    </row>
    <row r="15" spans="1:16" x14ac:dyDescent="0.25">
      <c r="F15" s="9" t="str">
        <f t="shared" si="0"/>
        <v/>
      </c>
      <c r="G15" s="18" t="str">
        <f t="shared" si="4"/>
        <v/>
      </c>
      <c r="H15" s="18" t="str">
        <f t="shared" si="1"/>
        <v/>
      </c>
      <c r="I15" s="18" t="str">
        <f t="shared" si="2"/>
        <v/>
      </c>
      <c r="J15" s="18" t="str">
        <f t="shared" si="3"/>
        <v/>
      </c>
    </row>
    <row r="16" spans="1:16" x14ac:dyDescent="0.25">
      <c r="F16" s="9" t="str">
        <f t="shared" si="0"/>
        <v/>
      </c>
      <c r="G16" s="18" t="str">
        <f t="shared" si="4"/>
        <v/>
      </c>
      <c r="H16" s="18" t="str">
        <f t="shared" si="1"/>
        <v/>
      </c>
      <c r="I16" s="18" t="str">
        <f t="shared" si="2"/>
        <v/>
      </c>
      <c r="J16" s="18" t="str">
        <f t="shared" si="3"/>
        <v/>
      </c>
    </row>
    <row r="17" spans="6:10" x14ac:dyDescent="0.25">
      <c r="F17" s="9" t="str">
        <f t="shared" si="0"/>
        <v/>
      </c>
      <c r="G17" s="18" t="str">
        <f t="shared" si="4"/>
        <v/>
      </c>
      <c r="H17" s="18" t="str">
        <f t="shared" si="1"/>
        <v/>
      </c>
      <c r="I17" s="18" t="str">
        <f t="shared" si="2"/>
        <v/>
      </c>
      <c r="J17" s="18" t="str">
        <f t="shared" si="3"/>
        <v/>
      </c>
    </row>
    <row r="18" spans="6:10" x14ac:dyDescent="0.25">
      <c r="F18" s="9" t="str">
        <f t="shared" si="0"/>
        <v/>
      </c>
      <c r="G18" s="18" t="str">
        <f t="shared" si="4"/>
        <v/>
      </c>
      <c r="H18" s="18" t="str">
        <f t="shared" si="1"/>
        <v/>
      </c>
      <c r="I18" s="18" t="str">
        <f t="shared" si="2"/>
        <v/>
      </c>
      <c r="J18" s="18" t="str">
        <f t="shared" si="3"/>
        <v/>
      </c>
    </row>
    <row r="19" spans="6:10" x14ac:dyDescent="0.25">
      <c r="F19" s="9" t="str">
        <f t="shared" si="0"/>
        <v/>
      </c>
      <c r="G19" s="18" t="str">
        <f t="shared" si="4"/>
        <v/>
      </c>
      <c r="H19" s="18" t="str">
        <f t="shared" si="1"/>
        <v/>
      </c>
      <c r="I19" s="18" t="str">
        <f t="shared" si="2"/>
        <v/>
      </c>
      <c r="J19" s="18" t="str">
        <f t="shared" si="3"/>
        <v/>
      </c>
    </row>
    <row r="20" spans="6:10" x14ac:dyDescent="0.25">
      <c r="F20" s="9" t="str">
        <f t="shared" si="0"/>
        <v/>
      </c>
      <c r="G20" s="18" t="str">
        <f t="shared" si="4"/>
        <v/>
      </c>
      <c r="H20" s="18" t="str">
        <f t="shared" si="1"/>
        <v/>
      </c>
      <c r="I20" s="18" t="str">
        <f t="shared" si="2"/>
        <v/>
      </c>
      <c r="J20" s="18" t="str">
        <f t="shared" si="3"/>
        <v/>
      </c>
    </row>
    <row r="21" spans="6:10" x14ac:dyDescent="0.25">
      <c r="F21" s="9" t="str">
        <f t="shared" si="0"/>
        <v/>
      </c>
      <c r="G21" s="18" t="str">
        <f t="shared" si="4"/>
        <v/>
      </c>
      <c r="H21" s="18" t="str">
        <f t="shared" si="1"/>
        <v/>
      </c>
      <c r="I21" s="18" t="str">
        <f t="shared" si="2"/>
        <v/>
      </c>
      <c r="J21" s="18" t="str">
        <f t="shared" si="3"/>
        <v/>
      </c>
    </row>
    <row r="22" spans="6:10" x14ac:dyDescent="0.25">
      <c r="F22" s="9" t="str">
        <f t="shared" si="0"/>
        <v/>
      </c>
      <c r="G22" s="18" t="str">
        <f t="shared" si="4"/>
        <v/>
      </c>
      <c r="H22" s="18" t="str">
        <f t="shared" si="1"/>
        <v/>
      </c>
      <c r="I22" s="18" t="str">
        <f t="shared" si="2"/>
        <v/>
      </c>
      <c r="J22" s="18" t="str">
        <f t="shared" si="3"/>
        <v/>
      </c>
    </row>
    <row r="23" spans="6:10" x14ac:dyDescent="0.25">
      <c r="F23" s="9" t="str">
        <f t="shared" si="0"/>
        <v/>
      </c>
      <c r="G23" s="18" t="str">
        <f t="shared" si="4"/>
        <v/>
      </c>
      <c r="H23" s="18" t="str">
        <f t="shared" si="1"/>
        <v/>
      </c>
      <c r="I23" s="18" t="str">
        <f t="shared" si="2"/>
        <v/>
      </c>
      <c r="J23" s="18" t="str">
        <f t="shared" si="3"/>
        <v/>
      </c>
    </row>
    <row r="24" spans="6:10" x14ac:dyDescent="0.25">
      <c r="F24" s="9" t="str">
        <f t="shared" si="0"/>
        <v/>
      </c>
      <c r="G24" s="18" t="str">
        <f t="shared" si="4"/>
        <v/>
      </c>
      <c r="H24" s="18" t="str">
        <f t="shared" si="1"/>
        <v/>
      </c>
      <c r="I24" s="18" t="str">
        <f t="shared" si="2"/>
        <v/>
      </c>
      <c r="J24" s="18" t="str">
        <f t="shared" si="3"/>
        <v/>
      </c>
    </row>
    <row r="25" spans="6:10" x14ac:dyDescent="0.25">
      <c r="F25" s="9" t="str">
        <f t="shared" si="0"/>
        <v/>
      </c>
      <c r="G25" s="18" t="str">
        <f t="shared" si="4"/>
        <v/>
      </c>
      <c r="H25" s="18" t="str">
        <f t="shared" si="1"/>
        <v/>
      </c>
      <c r="I25" s="18" t="str">
        <f t="shared" si="2"/>
        <v/>
      </c>
      <c r="J25" s="18" t="str">
        <f t="shared" si="3"/>
        <v/>
      </c>
    </row>
    <row r="26" spans="6:10" x14ac:dyDescent="0.25">
      <c r="F26" s="9" t="str">
        <f t="shared" si="0"/>
        <v/>
      </c>
      <c r="G26" s="18" t="str">
        <f t="shared" si="4"/>
        <v/>
      </c>
      <c r="H26" s="18" t="str">
        <f t="shared" si="1"/>
        <v/>
      </c>
      <c r="I26" s="18" t="str">
        <f t="shared" si="2"/>
        <v/>
      </c>
      <c r="J26" s="18" t="str">
        <f t="shared" si="3"/>
        <v/>
      </c>
    </row>
    <row r="27" spans="6:10" x14ac:dyDescent="0.25">
      <c r="F27" s="9" t="str">
        <f t="shared" si="0"/>
        <v/>
      </c>
      <c r="G27" s="18" t="str">
        <f t="shared" si="4"/>
        <v/>
      </c>
      <c r="H27" s="18" t="str">
        <f t="shared" si="1"/>
        <v/>
      </c>
      <c r="I27" s="18" t="str">
        <f t="shared" si="2"/>
        <v/>
      </c>
      <c r="J27" s="18" t="str">
        <f t="shared" si="3"/>
        <v/>
      </c>
    </row>
    <row r="28" spans="6:10" x14ac:dyDescent="0.25">
      <c r="F28" s="9" t="str">
        <f t="shared" si="0"/>
        <v/>
      </c>
      <c r="G28" s="18" t="str">
        <f t="shared" si="4"/>
        <v/>
      </c>
      <c r="H28" s="18" t="str">
        <f t="shared" si="1"/>
        <v/>
      </c>
      <c r="I28" s="18" t="str">
        <f t="shared" si="2"/>
        <v/>
      </c>
      <c r="J28" s="18" t="str">
        <f t="shared" si="3"/>
        <v/>
      </c>
    </row>
    <row r="29" spans="6:10" x14ac:dyDescent="0.25">
      <c r="F29" s="9" t="str">
        <f t="shared" si="0"/>
        <v/>
      </c>
      <c r="G29" s="18" t="str">
        <f t="shared" si="4"/>
        <v/>
      </c>
      <c r="H29" s="18" t="str">
        <f t="shared" si="1"/>
        <v/>
      </c>
      <c r="I29" s="18" t="str">
        <f t="shared" si="2"/>
        <v/>
      </c>
      <c r="J29" s="18" t="str">
        <f t="shared" si="3"/>
        <v/>
      </c>
    </row>
    <row r="30" spans="6:10" x14ac:dyDescent="0.25">
      <c r="F30" s="9" t="str">
        <f t="shared" si="0"/>
        <v/>
      </c>
      <c r="G30" s="18" t="str">
        <f t="shared" si="4"/>
        <v/>
      </c>
      <c r="H30" s="18" t="str">
        <f t="shared" si="1"/>
        <v/>
      </c>
      <c r="I30" s="18" t="str">
        <f t="shared" si="2"/>
        <v/>
      </c>
      <c r="J30" s="18" t="str">
        <f t="shared" si="3"/>
        <v/>
      </c>
    </row>
    <row r="31" spans="6:10" x14ac:dyDescent="0.25">
      <c r="F31" s="9" t="str">
        <f t="shared" si="0"/>
        <v/>
      </c>
      <c r="G31" s="18" t="str">
        <f t="shared" si="4"/>
        <v/>
      </c>
      <c r="H31" s="18" t="str">
        <f t="shared" si="1"/>
        <v/>
      </c>
      <c r="I31" s="18" t="str">
        <f t="shared" si="2"/>
        <v/>
      </c>
      <c r="J31" s="18" t="str">
        <f t="shared" si="3"/>
        <v/>
      </c>
    </row>
    <row r="32" spans="6:10" x14ac:dyDescent="0.25">
      <c r="F32" s="9" t="str">
        <f t="shared" si="0"/>
        <v/>
      </c>
      <c r="G32" s="18" t="str">
        <f t="shared" si="4"/>
        <v/>
      </c>
      <c r="H32" s="18" t="str">
        <f t="shared" si="1"/>
        <v/>
      </c>
      <c r="I32" s="18" t="str">
        <f t="shared" si="2"/>
        <v/>
      </c>
      <c r="J32" s="18" t="str">
        <f t="shared" si="3"/>
        <v/>
      </c>
    </row>
    <row r="33" spans="6:10" x14ac:dyDescent="0.25">
      <c r="F33" s="9" t="str">
        <f t="shared" si="0"/>
        <v/>
      </c>
      <c r="G33" s="18" t="str">
        <f t="shared" si="4"/>
        <v/>
      </c>
      <c r="H33" s="18" t="str">
        <f t="shared" si="1"/>
        <v/>
      </c>
      <c r="I33" s="18" t="str">
        <f t="shared" si="2"/>
        <v/>
      </c>
      <c r="J33" s="18" t="str">
        <f t="shared" si="3"/>
        <v/>
      </c>
    </row>
    <row r="34" spans="6:10" x14ac:dyDescent="0.25">
      <c r="F34" s="9" t="str">
        <f t="shared" si="0"/>
        <v/>
      </c>
      <c r="G34" s="18" t="str">
        <f t="shared" si="4"/>
        <v/>
      </c>
      <c r="H34" s="18" t="str">
        <f t="shared" si="1"/>
        <v/>
      </c>
      <c r="I34" s="18" t="str">
        <f t="shared" si="2"/>
        <v/>
      </c>
      <c r="J34" s="18" t="str">
        <f t="shared" si="3"/>
        <v/>
      </c>
    </row>
    <row r="35" spans="6:10" x14ac:dyDescent="0.25">
      <c r="F35" s="9" t="str">
        <f t="shared" si="0"/>
        <v/>
      </c>
      <c r="G35" s="18" t="str">
        <f t="shared" si="4"/>
        <v/>
      </c>
      <c r="H35" s="18" t="str">
        <f t="shared" si="1"/>
        <v/>
      </c>
      <c r="I35" s="18" t="str">
        <f t="shared" si="2"/>
        <v/>
      </c>
      <c r="J35" s="18" t="str">
        <f t="shared" si="3"/>
        <v/>
      </c>
    </row>
    <row r="36" spans="6:10" x14ac:dyDescent="0.25">
      <c r="F36" s="9" t="str">
        <f t="shared" si="0"/>
        <v/>
      </c>
      <c r="G36" s="18" t="str">
        <f t="shared" si="4"/>
        <v/>
      </c>
      <c r="H36" s="18" t="str">
        <f t="shared" si="1"/>
        <v/>
      </c>
      <c r="I36" s="18" t="str">
        <f t="shared" si="2"/>
        <v/>
      </c>
      <c r="J36" s="18" t="str">
        <f t="shared" si="3"/>
        <v/>
      </c>
    </row>
    <row r="37" spans="6:10" x14ac:dyDescent="0.25">
      <c r="F37" s="9" t="str">
        <f t="shared" si="0"/>
        <v/>
      </c>
      <c r="G37" s="18" t="str">
        <f t="shared" si="4"/>
        <v/>
      </c>
      <c r="H37" s="18" t="str">
        <f t="shared" si="1"/>
        <v/>
      </c>
      <c r="I37" s="18" t="str">
        <f t="shared" si="2"/>
        <v/>
      </c>
      <c r="J37" s="18" t="str">
        <f t="shared" si="3"/>
        <v/>
      </c>
    </row>
    <row r="38" spans="6:10" x14ac:dyDescent="0.25">
      <c r="F38" s="9" t="str">
        <f t="shared" si="0"/>
        <v/>
      </c>
      <c r="G38" s="18" t="str">
        <f t="shared" si="4"/>
        <v/>
      </c>
      <c r="H38" s="18" t="str">
        <f t="shared" si="1"/>
        <v/>
      </c>
      <c r="I38" s="18" t="str">
        <f t="shared" si="2"/>
        <v/>
      </c>
      <c r="J38" s="18" t="str">
        <f t="shared" si="3"/>
        <v/>
      </c>
    </row>
    <row r="39" spans="6:10" x14ac:dyDescent="0.25">
      <c r="F39" s="9" t="str">
        <f t="shared" si="0"/>
        <v/>
      </c>
      <c r="G39" s="18" t="str">
        <f t="shared" si="4"/>
        <v/>
      </c>
      <c r="H39" s="18" t="str">
        <f t="shared" si="1"/>
        <v/>
      </c>
      <c r="I39" s="18" t="str">
        <f t="shared" si="2"/>
        <v/>
      </c>
      <c r="J39" s="18" t="str">
        <f t="shared" si="3"/>
        <v/>
      </c>
    </row>
    <row r="40" spans="6:10" x14ac:dyDescent="0.25">
      <c r="F40" s="9" t="str">
        <f t="shared" si="0"/>
        <v/>
      </c>
      <c r="G40" s="18" t="str">
        <f t="shared" si="4"/>
        <v/>
      </c>
      <c r="H40" s="18" t="str">
        <f t="shared" si="1"/>
        <v/>
      </c>
      <c r="I40" s="18" t="str">
        <f t="shared" si="2"/>
        <v/>
      </c>
      <c r="J40" s="18" t="str">
        <f t="shared" si="3"/>
        <v/>
      </c>
    </row>
    <row r="41" spans="6:10" x14ac:dyDescent="0.25">
      <c r="F41" s="9" t="str">
        <f t="shared" si="0"/>
        <v/>
      </c>
      <c r="G41" s="18" t="str">
        <f t="shared" si="4"/>
        <v/>
      </c>
      <c r="H41" s="18" t="str">
        <f t="shared" si="1"/>
        <v/>
      </c>
      <c r="I41" s="18" t="str">
        <f t="shared" si="2"/>
        <v/>
      </c>
      <c r="J41" s="18" t="str">
        <f t="shared" si="3"/>
        <v/>
      </c>
    </row>
    <row r="42" spans="6:10" x14ac:dyDescent="0.25">
      <c r="F42" s="9" t="str">
        <f t="shared" si="0"/>
        <v/>
      </c>
      <c r="G42" s="18" t="str">
        <f t="shared" si="4"/>
        <v/>
      </c>
      <c r="H42" s="18" t="str">
        <f t="shared" si="1"/>
        <v/>
      </c>
      <c r="I42" s="18" t="str">
        <f t="shared" si="2"/>
        <v/>
      </c>
      <c r="J42" s="18" t="str">
        <f t="shared" si="3"/>
        <v/>
      </c>
    </row>
    <row r="43" spans="6:10" x14ac:dyDescent="0.25">
      <c r="F43" s="9" t="str">
        <f t="shared" si="0"/>
        <v/>
      </c>
      <c r="G43" s="18" t="str">
        <f t="shared" si="4"/>
        <v/>
      </c>
      <c r="H43" s="18" t="str">
        <f t="shared" si="1"/>
        <v/>
      </c>
      <c r="I43" s="18" t="str">
        <f t="shared" si="2"/>
        <v/>
      </c>
      <c r="J43" s="18" t="str">
        <f t="shared" si="3"/>
        <v/>
      </c>
    </row>
    <row r="44" spans="6:10" x14ac:dyDescent="0.25">
      <c r="F44" s="9" t="str">
        <f t="shared" si="0"/>
        <v/>
      </c>
      <c r="G44" s="18" t="str">
        <f t="shared" si="4"/>
        <v/>
      </c>
      <c r="H44" s="18" t="str">
        <f t="shared" si="1"/>
        <v/>
      </c>
      <c r="I44" s="18" t="str">
        <f t="shared" si="2"/>
        <v/>
      </c>
      <c r="J44" s="18" t="str">
        <f t="shared" si="3"/>
        <v/>
      </c>
    </row>
    <row r="45" spans="6:10" x14ac:dyDescent="0.25">
      <c r="F45" s="9" t="str">
        <f t="shared" si="0"/>
        <v/>
      </c>
      <c r="G45" s="18" t="str">
        <f t="shared" si="4"/>
        <v/>
      </c>
      <c r="H45" s="18" t="str">
        <f t="shared" si="1"/>
        <v/>
      </c>
      <c r="I45" s="18" t="str">
        <f t="shared" si="2"/>
        <v/>
      </c>
      <c r="J45" s="18" t="str">
        <f t="shared" si="3"/>
        <v/>
      </c>
    </row>
    <row r="46" spans="6:10" x14ac:dyDescent="0.25">
      <c r="F46" s="9" t="str">
        <f t="shared" si="0"/>
        <v/>
      </c>
      <c r="G46" s="18" t="str">
        <f t="shared" si="4"/>
        <v/>
      </c>
      <c r="H46" s="18" t="str">
        <f t="shared" si="1"/>
        <v/>
      </c>
      <c r="I46" s="18" t="str">
        <f t="shared" si="2"/>
        <v/>
      </c>
      <c r="J46" s="18" t="str">
        <f t="shared" si="3"/>
        <v/>
      </c>
    </row>
    <row r="47" spans="6:10" x14ac:dyDescent="0.25">
      <c r="F47" s="9" t="str">
        <f t="shared" si="0"/>
        <v/>
      </c>
      <c r="G47" s="18" t="str">
        <f t="shared" si="4"/>
        <v/>
      </c>
      <c r="H47" s="18" t="str">
        <f t="shared" si="1"/>
        <v/>
      </c>
      <c r="I47" s="18" t="str">
        <f t="shared" si="2"/>
        <v/>
      </c>
      <c r="J47" s="18" t="str">
        <f t="shared" si="3"/>
        <v/>
      </c>
    </row>
    <row r="48" spans="6:10" x14ac:dyDescent="0.25">
      <c r="F48" s="9" t="str">
        <f t="shared" si="0"/>
        <v/>
      </c>
      <c r="G48" s="18" t="str">
        <f t="shared" si="4"/>
        <v/>
      </c>
      <c r="H48" s="18" t="str">
        <f t="shared" si="1"/>
        <v/>
      </c>
      <c r="I48" s="18" t="str">
        <f t="shared" si="2"/>
        <v/>
      </c>
      <c r="J48" s="18" t="str">
        <f t="shared" si="3"/>
        <v/>
      </c>
    </row>
    <row r="49" spans="6:10" x14ac:dyDescent="0.25">
      <c r="F49" s="9" t="str">
        <f t="shared" si="0"/>
        <v/>
      </c>
      <c r="G49" s="18" t="str">
        <f t="shared" si="4"/>
        <v/>
      </c>
      <c r="H49" s="18" t="str">
        <f t="shared" si="1"/>
        <v/>
      </c>
      <c r="I49" s="18" t="str">
        <f t="shared" si="2"/>
        <v/>
      </c>
      <c r="J49" s="18" t="str">
        <f t="shared" si="3"/>
        <v/>
      </c>
    </row>
    <row r="50" spans="6:10" x14ac:dyDescent="0.25">
      <c r="F50" s="9" t="str">
        <f t="shared" si="0"/>
        <v/>
      </c>
      <c r="G50" s="18" t="str">
        <f t="shared" si="4"/>
        <v/>
      </c>
      <c r="H50" s="18" t="str">
        <f t="shared" si="1"/>
        <v/>
      </c>
      <c r="I50" s="18" t="str">
        <f t="shared" si="2"/>
        <v/>
      </c>
      <c r="J50" s="18" t="str">
        <f t="shared" si="3"/>
        <v/>
      </c>
    </row>
    <row r="51" spans="6:10" x14ac:dyDescent="0.25">
      <c r="F51" s="9" t="str">
        <f t="shared" si="0"/>
        <v/>
      </c>
      <c r="G51" s="18" t="str">
        <f t="shared" si="4"/>
        <v/>
      </c>
      <c r="H51" s="18" t="str">
        <f t="shared" si="1"/>
        <v/>
      </c>
      <c r="I51" s="18" t="str">
        <f t="shared" si="2"/>
        <v/>
      </c>
      <c r="J51" s="18" t="str">
        <f t="shared" si="3"/>
        <v/>
      </c>
    </row>
    <row r="52" spans="6:10" x14ac:dyDescent="0.25">
      <c r="F52" s="9" t="str">
        <f t="shared" si="0"/>
        <v/>
      </c>
      <c r="G52" s="18" t="str">
        <f t="shared" si="4"/>
        <v/>
      </c>
      <c r="H52" s="18" t="str">
        <f t="shared" si="1"/>
        <v/>
      </c>
      <c r="I52" s="18" t="str">
        <f t="shared" si="2"/>
        <v/>
      </c>
      <c r="J52" s="18" t="str">
        <f t="shared" si="3"/>
        <v/>
      </c>
    </row>
    <row r="53" spans="6:10" x14ac:dyDescent="0.25">
      <c r="F53" s="9" t="str">
        <f t="shared" si="0"/>
        <v/>
      </c>
      <c r="G53" s="18" t="str">
        <f t="shared" si="4"/>
        <v/>
      </c>
      <c r="H53" s="18" t="str">
        <f t="shared" si="1"/>
        <v/>
      </c>
      <c r="I53" s="18" t="str">
        <f t="shared" si="2"/>
        <v/>
      </c>
      <c r="J53" s="18" t="str">
        <f t="shared" si="3"/>
        <v/>
      </c>
    </row>
    <row r="54" spans="6:10" x14ac:dyDescent="0.25">
      <c r="F54" s="9" t="str">
        <f t="shared" si="0"/>
        <v/>
      </c>
      <c r="G54" s="18" t="str">
        <f t="shared" si="4"/>
        <v/>
      </c>
      <c r="H54" s="18" t="str">
        <f t="shared" si="1"/>
        <v/>
      </c>
      <c r="I54" s="18" t="str">
        <f t="shared" si="2"/>
        <v/>
      </c>
      <c r="J54" s="18" t="str">
        <f t="shared" si="3"/>
        <v/>
      </c>
    </row>
    <row r="55" spans="6:10" x14ac:dyDescent="0.25">
      <c r="F55" s="9" t="str">
        <f t="shared" si="0"/>
        <v/>
      </c>
      <c r="G55" s="18" t="str">
        <f t="shared" si="4"/>
        <v/>
      </c>
      <c r="H55" s="18" t="str">
        <f t="shared" si="1"/>
        <v/>
      </c>
      <c r="I55" s="18" t="str">
        <f t="shared" si="2"/>
        <v/>
      </c>
      <c r="J55" s="18" t="str">
        <f t="shared" si="3"/>
        <v/>
      </c>
    </row>
    <row r="56" spans="6:10" x14ac:dyDescent="0.25">
      <c r="F56" s="9" t="str">
        <f t="shared" si="0"/>
        <v/>
      </c>
      <c r="G56" s="18" t="str">
        <f t="shared" si="4"/>
        <v/>
      </c>
      <c r="H56" s="18" t="str">
        <f t="shared" si="1"/>
        <v/>
      </c>
      <c r="I56" s="18" t="str">
        <f t="shared" si="2"/>
        <v/>
      </c>
      <c r="J56" s="18" t="str">
        <f t="shared" si="3"/>
        <v/>
      </c>
    </row>
    <row r="57" spans="6:10" x14ac:dyDescent="0.25">
      <c r="F57" s="9" t="str">
        <f t="shared" si="0"/>
        <v/>
      </c>
      <c r="G57" s="18" t="str">
        <f t="shared" si="4"/>
        <v/>
      </c>
      <c r="H57" s="18" t="str">
        <f t="shared" si="1"/>
        <v/>
      </c>
      <c r="I57" s="18" t="str">
        <f t="shared" si="2"/>
        <v/>
      </c>
      <c r="J57" s="18" t="str">
        <f t="shared" si="3"/>
        <v/>
      </c>
    </row>
    <row r="58" spans="6:10" x14ac:dyDescent="0.25">
      <c r="F58" s="9" t="str">
        <f t="shared" si="0"/>
        <v/>
      </c>
      <c r="G58" s="18" t="str">
        <f t="shared" si="4"/>
        <v/>
      </c>
      <c r="H58" s="18" t="str">
        <f t="shared" si="1"/>
        <v/>
      </c>
      <c r="I58" s="18" t="str">
        <f t="shared" si="2"/>
        <v/>
      </c>
      <c r="J58" s="18" t="str">
        <f t="shared" si="3"/>
        <v/>
      </c>
    </row>
    <row r="59" spans="6:10" x14ac:dyDescent="0.25">
      <c r="F59" s="9" t="str">
        <f t="shared" si="0"/>
        <v/>
      </c>
      <c r="G59" s="18" t="str">
        <f t="shared" si="4"/>
        <v/>
      </c>
      <c r="H59" s="18" t="str">
        <f t="shared" si="1"/>
        <v/>
      </c>
      <c r="I59" s="18" t="str">
        <f t="shared" si="2"/>
        <v/>
      </c>
      <c r="J59" s="18" t="str">
        <f t="shared" si="3"/>
        <v/>
      </c>
    </row>
    <row r="60" spans="6:10" x14ac:dyDescent="0.25">
      <c r="F60" s="9" t="str">
        <f t="shared" si="0"/>
        <v/>
      </c>
      <c r="G60" s="18" t="str">
        <f t="shared" si="4"/>
        <v/>
      </c>
      <c r="H60" s="18" t="str">
        <f t="shared" si="1"/>
        <v/>
      </c>
      <c r="I60" s="18" t="str">
        <f t="shared" si="2"/>
        <v/>
      </c>
      <c r="J60" s="18" t="str">
        <f t="shared" si="3"/>
        <v/>
      </c>
    </row>
    <row r="61" spans="6:10" x14ac:dyDescent="0.25">
      <c r="F61" s="9" t="str">
        <f t="shared" si="0"/>
        <v/>
      </c>
      <c r="G61" s="18" t="str">
        <f t="shared" si="4"/>
        <v/>
      </c>
      <c r="H61" s="18" t="str">
        <f t="shared" si="1"/>
        <v/>
      </c>
      <c r="I61" s="18" t="str">
        <f t="shared" si="2"/>
        <v/>
      </c>
      <c r="J61" s="18" t="str">
        <f t="shared" si="3"/>
        <v/>
      </c>
    </row>
    <row r="62" spans="6:10" x14ac:dyDescent="0.25">
      <c r="F62" s="9" t="str">
        <f t="shared" si="0"/>
        <v/>
      </c>
      <c r="G62" s="18" t="str">
        <f t="shared" si="4"/>
        <v/>
      </c>
      <c r="H62" s="18" t="str">
        <f t="shared" si="1"/>
        <v/>
      </c>
      <c r="I62" s="18" t="str">
        <f t="shared" si="2"/>
        <v/>
      </c>
      <c r="J62" s="18" t="str">
        <f t="shared" si="3"/>
        <v/>
      </c>
    </row>
    <row r="63" spans="6:10" x14ac:dyDescent="0.25">
      <c r="F63" s="9" t="str">
        <f t="shared" si="0"/>
        <v/>
      </c>
      <c r="G63" s="18" t="str">
        <f t="shared" si="4"/>
        <v/>
      </c>
      <c r="H63" s="18" t="str">
        <f t="shared" si="1"/>
        <v/>
      </c>
      <c r="I63" s="18" t="str">
        <f t="shared" si="2"/>
        <v/>
      </c>
      <c r="J63" s="18" t="str">
        <f t="shared" si="3"/>
        <v/>
      </c>
    </row>
    <row r="64" spans="6:10" x14ac:dyDescent="0.25">
      <c r="F64" s="9" t="str">
        <f t="shared" si="0"/>
        <v/>
      </c>
      <c r="G64" s="18" t="str">
        <f t="shared" si="4"/>
        <v/>
      </c>
      <c r="H64" s="18" t="str">
        <f t="shared" si="1"/>
        <v/>
      </c>
      <c r="I64" s="18" t="str">
        <f t="shared" si="2"/>
        <v/>
      </c>
      <c r="J64" s="18" t="str">
        <f t="shared" si="3"/>
        <v/>
      </c>
    </row>
    <row r="65" spans="6:10" x14ac:dyDescent="0.25">
      <c r="F65" s="9" t="str">
        <f t="shared" si="0"/>
        <v/>
      </c>
      <c r="G65" s="18" t="str">
        <f t="shared" si="4"/>
        <v/>
      </c>
      <c r="H65" s="18" t="str">
        <f t="shared" si="1"/>
        <v/>
      </c>
      <c r="I65" s="18" t="str">
        <f t="shared" si="2"/>
        <v/>
      </c>
      <c r="J65" s="18" t="str">
        <f t="shared" si="3"/>
        <v/>
      </c>
    </row>
    <row r="66" spans="6:10" x14ac:dyDescent="0.25">
      <c r="F66" s="9" t="str">
        <f t="shared" si="0"/>
        <v/>
      </c>
      <c r="G66" s="18" t="str">
        <f t="shared" si="4"/>
        <v/>
      </c>
      <c r="H66" s="18" t="str">
        <f t="shared" si="1"/>
        <v/>
      </c>
      <c r="I66" s="18" t="str">
        <f t="shared" si="2"/>
        <v/>
      </c>
      <c r="J66" s="18" t="str">
        <f t="shared" si="3"/>
        <v/>
      </c>
    </row>
    <row r="67" spans="6:10" x14ac:dyDescent="0.25">
      <c r="F67" s="9" t="str">
        <f t="shared" si="0"/>
        <v/>
      </c>
      <c r="G67" s="18" t="str">
        <f t="shared" si="4"/>
        <v/>
      </c>
      <c r="H67" s="18" t="str">
        <f t="shared" si="1"/>
        <v/>
      </c>
      <c r="I67" s="18" t="str">
        <f t="shared" si="2"/>
        <v/>
      </c>
      <c r="J67" s="18" t="str">
        <f t="shared" si="3"/>
        <v/>
      </c>
    </row>
    <row r="68" spans="6:10" x14ac:dyDescent="0.25">
      <c r="F68" s="9" t="str">
        <f t="shared" si="0"/>
        <v/>
      </c>
      <c r="G68" s="18" t="str">
        <f t="shared" si="4"/>
        <v/>
      </c>
      <c r="H68" s="18" t="str">
        <f t="shared" si="1"/>
        <v/>
      </c>
      <c r="I68" s="18" t="str">
        <f t="shared" si="2"/>
        <v/>
      </c>
      <c r="J68" s="18" t="str">
        <f t="shared" si="3"/>
        <v/>
      </c>
    </row>
    <row r="69" spans="6:10" x14ac:dyDescent="0.25">
      <c r="F69" s="9" t="str">
        <f t="shared" ref="F69:F105" si="5">IF(F68&lt;$C$4, F68+1,"")</f>
        <v/>
      </c>
      <c r="G69" s="18" t="str">
        <f t="shared" ref="G69:G103" si="6">IF(F68&lt;$C$4,$C$2*$C$3,"")</f>
        <v/>
      </c>
      <c r="H69" s="18" t="str">
        <f t="shared" ref="H69:H103" si="7">IF(F68&lt;$C$4, ($C$5*$C$9) -($C$5*($C$9-$C$6)*((1+$C$6)^-($C$4-F69+1))),"")</f>
        <v/>
      </c>
      <c r="I69" s="18" t="str">
        <f t="shared" ref="I69:I103" si="8">IF(F68&lt;$C$4,G69-H69,"")</f>
        <v/>
      </c>
      <c r="J69" s="18" t="str">
        <f t="shared" ref="J69:J103" si="9">IF(F68&lt;$C$4, $C$5+($C$5*($C$9-$C$6)*((1-(1+$C$6)^-($C$4-F69))/$C$6)),"")</f>
        <v/>
      </c>
    </row>
    <row r="70" spans="6:10" x14ac:dyDescent="0.25">
      <c r="F70" s="9" t="str">
        <f t="shared" si="5"/>
        <v/>
      </c>
      <c r="G70" s="18" t="str">
        <f t="shared" si="6"/>
        <v/>
      </c>
      <c r="H70" s="18" t="str">
        <f t="shared" si="7"/>
        <v/>
      </c>
      <c r="I70" s="18" t="str">
        <f t="shared" si="8"/>
        <v/>
      </c>
      <c r="J70" s="18" t="str">
        <f t="shared" si="9"/>
        <v/>
      </c>
    </row>
    <row r="71" spans="6:10" x14ac:dyDescent="0.25">
      <c r="F71" s="9" t="str">
        <f t="shared" si="5"/>
        <v/>
      </c>
      <c r="G71" s="18" t="str">
        <f t="shared" si="6"/>
        <v/>
      </c>
      <c r="H71" s="18" t="str">
        <f t="shared" si="7"/>
        <v/>
      </c>
      <c r="I71" s="18" t="str">
        <f t="shared" si="8"/>
        <v/>
      </c>
      <c r="J71" s="18" t="str">
        <f t="shared" si="9"/>
        <v/>
      </c>
    </row>
    <row r="72" spans="6:10" x14ac:dyDescent="0.25">
      <c r="F72" s="9" t="str">
        <f t="shared" si="5"/>
        <v/>
      </c>
      <c r="G72" s="18" t="str">
        <f t="shared" si="6"/>
        <v/>
      </c>
      <c r="H72" s="18" t="str">
        <f t="shared" si="7"/>
        <v/>
      </c>
      <c r="I72" s="18" t="str">
        <f t="shared" si="8"/>
        <v/>
      </c>
      <c r="J72" s="18" t="str">
        <f t="shared" si="9"/>
        <v/>
      </c>
    </row>
    <row r="73" spans="6:10" x14ac:dyDescent="0.25">
      <c r="F73" s="9" t="str">
        <f t="shared" si="5"/>
        <v/>
      </c>
      <c r="G73" s="18" t="str">
        <f t="shared" si="6"/>
        <v/>
      </c>
      <c r="H73" s="18" t="str">
        <f t="shared" si="7"/>
        <v/>
      </c>
      <c r="I73" s="18" t="str">
        <f t="shared" si="8"/>
        <v/>
      </c>
      <c r="J73" s="18" t="str">
        <f t="shared" si="9"/>
        <v/>
      </c>
    </row>
    <row r="74" spans="6:10" x14ac:dyDescent="0.25">
      <c r="F74" s="9" t="str">
        <f t="shared" si="5"/>
        <v/>
      </c>
      <c r="G74" s="18" t="str">
        <f t="shared" si="6"/>
        <v/>
      </c>
      <c r="H74" s="18" t="str">
        <f t="shared" si="7"/>
        <v/>
      </c>
      <c r="I74" s="18" t="str">
        <f t="shared" si="8"/>
        <v/>
      </c>
      <c r="J74" s="18" t="str">
        <f t="shared" si="9"/>
        <v/>
      </c>
    </row>
    <row r="75" spans="6:10" x14ac:dyDescent="0.25">
      <c r="F75" s="9" t="str">
        <f t="shared" si="5"/>
        <v/>
      </c>
      <c r="G75" s="18" t="str">
        <f t="shared" si="6"/>
        <v/>
      </c>
      <c r="H75" s="18" t="str">
        <f t="shared" si="7"/>
        <v/>
      </c>
      <c r="I75" s="18" t="str">
        <f t="shared" si="8"/>
        <v/>
      </c>
      <c r="J75" s="18" t="str">
        <f t="shared" si="9"/>
        <v/>
      </c>
    </row>
    <row r="76" spans="6:10" x14ac:dyDescent="0.25">
      <c r="F76" s="9" t="str">
        <f t="shared" si="5"/>
        <v/>
      </c>
      <c r="G76" s="18" t="str">
        <f t="shared" si="6"/>
        <v/>
      </c>
      <c r="H76" s="18" t="str">
        <f t="shared" si="7"/>
        <v/>
      </c>
      <c r="I76" s="18" t="str">
        <f t="shared" si="8"/>
        <v/>
      </c>
      <c r="J76" s="18" t="str">
        <f t="shared" si="9"/>
        <v/>
      </c>
    </row>
    <row r="77" spans="6:10" x14ac:dyDescent="0.25">
      <c r="F77" s="9" t="str">
        <f t="shared" si="5"/>
        <v/>
      </c>
      <c r="G77" s="18" t="str">
        <f t="shared" si="6"/>
        <v/>
      </c>
      <c r="H77" s="18" t="str">
        <f t="shared" si="7"/>
        <v/>
      </c>
      <c r="I77" s="18" t="str">
        <f t="shared" si="8"/>
        <v/>
      </c>
      <c r="J77" s="18" t="str">
        <f t="shared" si="9"/>
        <v/>
      </c>
    </row>
    <row r="78" spans="6:10" x14ac:dyDescent="0.25">
      <c r="F78" s="9" t="str">
        <f t="shared" si="5"/>
        <v/>
      </c>
      <c r="G78" s="18" t="str">
        <f t="shared" si="6"/>
        <v/>
      </c>
      <c r="H78" s="18" t="str">
        <f t="shared" si="7"/>
        <v/>
      </c>
      <c r="I78" s="18" t="str">
        <f t="shared" si="8"/>
        <v/>
      </c>
      <c r="J78" s="18" t="str">
        <f t="shared" si="9"/>
        <v/>
      </c>
    </row>
    <row r="79" spans="6:10" x14ac:dyDescent="0.25">
      <c r="F79" s="9" t="str">
        <f t="shared" si="5"/>
        <v/>
      </c>
      <c r="G79" s="18" t="str">
        <f t="shared" si="6"/>
        <v/>
      </c>
      <c r="H79" s="18" t="str">
        <f t="shared" si="7"/>
        <v/>
      </c>
      <c r="I79" s="18" t="str">
        <f t="shared" si="8"/>
        <v/>
      </c>
      <c r="J79" s="18" t="str">
        <f t="shared" si="9"/>
        <v/>
      </c>
    </row>
    <row r="80" spans="6:10" x14ac:dyDescent="0.25">
      <c r="F80" s="9" t="str">
        <f t="shared" si="5"/>
        <v/>
      </c>
      <c r="G80" s="18" t="str">
        <f t="shared" si="6"/>
        <v/>
      </c>
      <c r="H80" s="18" t="str">
        <f t="shared" si="7"/>
        <v/>
      </c>
      <c r="I80" s="18" t="str">
        <f t="shared" si="8"/>
        <v/>
      </c>
      <c r="J80" s="18" t="str">
        <f t="shared" si="9"/>
        <v/>
      </c>
    </row>
    <row r="81" spans="6:10" x14ac:dyDescent="0.25">
      <c r="F81" s="9" t="str">
        <f t="shared" si="5"/>
        <v/>
      </c>
      <c r="G81" s="18" t="str">
        <f t="shared" si="6"/>
        <v/>
      </c>
      <c r="H81" s="18" t="str">
        <f t="shared" si="7"/>
        <v/>
      </c>
      <c r="I81" s="18" t="str">
        <f t="shared" si="8"/>
        <v/>
      </c>
      <c r="J81" s="18" t="str">
        <f t="shared" si="9"/>
        <v/>
      </c>
    </row>
    <row r="82" spans="6:10" x14ac:dyDescent="0.25">
      <c r="F82" s="9" t="str">
        <f t="shared" si="5"/>
        <v/>
      </c>
      <c r="G82" s="18" t="str">
        <f t="shared" si="6"/>
        <v/>
      </c>
      <c r="H82" s="18" t="str">
        <f t="shared" si="7"/>
        <v/>
      </c>
      <c r="I82" s="18" t="str">
        <f t="shared" si="8"/>
        <v/>
      </c>
      <c r="J82" s="18" t="str">
        <f t="shared" si="9"/>
        <v/>
      </c>
    </row>
    <row r="83" spans="6:10" x14ac:dyDescent="0.25">
      <c r="F83" s="9" t="str">
        <f t="shared" si="5"/>
        <v/>
      </c>
      <c r="G83" s="18" t="str">
        <f t="shared" si="6"/>
        <v/>
      </c>
      <c r="H83" s="18" t="str">
        <f t="shared" si="7"/>
        <v/>
      </c>
      <c r="I83" s="18" t="str">
        <f t="shared" si="8"/>
        <v/>
      </c>
      <c r="J83" s="18" t="str">
        <f t="shared" si="9"/>
        <v/>
      </c>
    </row>
    <row r="84" spans="6:10" x14ac:dyDescent="0.25">
      <c r="F84" s="9" t="str">
        <f t="shared" si="5"/>
        <v/>
      </c>
      <c r="G84" s="18" t="str">
        <f t="shared" si="6"/>
        <v/>
      </c>
      <c r="H84" s="18" t="str">
        <f t="shared" si="7"/>
        <v/>
      </c>
      <c r="I84" s="18" t="str">
        <f t="shared" si="8"/>
        <v/>
      </c>
      <c r="J84" s="18" t="str">
        <f t="shared" si="9"/>
        <v/>
      </c>
    </row>
    <row r="85" spans="6:10" x14ac:dyDescent="0.25">
      <c r="F85" s="9" t="str">
        <f t="shared" si="5"/>
        <v/>
      </c>
      <c r="G85" s="18" t="str">
        <f t="shared" si="6"/>
        <v/>
      </c>
      <c r="H85" s="18" t="str">
        <f t="shared" si="7"/>
        <v/>
      </c>
      <c r="I85" s="18" t="str">
        <f t="shared" si="8"/>
        <v/>
      </c>
      <c r="J85" s="18" t="str">
        <f t="shared" si="9"/>
        <v/>
      </c>
    </row>
    <row r="86" spans="6:10" x14ac:dyDescent="0.25">
      <c r="F86" s="9" t="str">
        <f t="shared" si="5"/>
        <v/>
      </c>
      <c r="G86" s="18" t="str">
        <f t="shared" si="6"/>
        <v/>
      </c>
      <c r="H86" s="18" t="str">
        <f t="shared" si="7"/>
        <v/>
      </c>
      <c r="I86" s="18" t="str">
        <f t="shared" si="8"/>
        <v/>
      </c>
      <c r="J86" s="18" t="str">
        <f t="shared" si="9"/>
        <v/>
      </c>
    </row>
    <row r="87" spans="6:10" x14ac:dyDescent="0.25">
      <c r="F87" s="9" t="str">
        <f t="shared" si="5"/>
        <v/>
      </c>
      <c r="G87" s="18" t="str">
        <f t="shared" si="6"/>
        <v/>
      </c>
      <c r="H87" s="18" t="str">
        <f t="shared" si="7"/>
        <v/>
      </c>
      <c r="I87" s="18" t="str">
        <f t="shared" si="8"/>
        <v/>
      </c>
      <c r="J87" s="18" t="str">
        <f t="shared" si="9"/>
        <v/>
      </c>
    </row>
    <row r="88" spans="6:10" x14ac:dyDescent="0.25">
      <c r="F88" s="9" t="str">
        <f t="shared" si="5"/>
        <v/>
      </c>
      <c r="G88" s="18" t="str">
        <f t="shared" si="6"/>
        <v/>
      </c>
      <c r="H88" s="18" t="str">
        <f t="shared" si="7"/>
        <v/>
      </c>
      <c r="I88" s="18" t="str">
        <f t="shared" si="8"/>
        <v/>
      </c>
      <c r="J88" s="18" t="str">
        <f t="shared" si="9"/>
        <v/>
      </c>
    </row>
    <row r="89" spans="6:10" x14ac:dyDescent="0.25">
      <c r="F89" s="9" t="str">
        <f t="shared" si="5"/>
        <v/>
      </c>
      <c r="G89" s="18" t="str">
        <f t="shared" si="6"/>
        <v/>
      </c>
      <c r="H89" s="18" t="str">
        <f t="shared" si="7"/>
        <v/>
      </c>
      <c r="I89" s="18" t="str">
        <f t="shared" si="8"/>
        <v/>
      </c>
      <c r="J89" s="18" t="str">
        <f t="shared" si="9"/>
        <v/>
      </c>
    </row>
    <row r="90" spans="6:10" x14ac:dyDescent="0.25">
      <c r="F90" s="9" t="str">
        <f t="shared" si="5"/>
        <v/>
      </c>
      <c r="G90" s="18" t="str">
        <f t="shared" si="6"/>
        <v/>
      </c>
      <c r="H90" s="18" t="str">
        <f t="shared" si="7"/>
        <v/>
      </c>
      <c r="I90" s="18" t="str">
        <f t="shared" si="8"/>
        <v/>
      </c>
      <c r="J90" s="18" t="str">
        <f t="shared" si="9"/>
        <v/>
      </c>
    </row>
    <row r="91" spans="6:10" x14ac:dyDescent="0.25">
      <c r="F91" s="9" t="str">
        <f t="shared" si="5"/>
        <v/>
      </c>
      <c r="G91" s="18" t="str">
        <f t="shared" si="6"/>
        <v/>
      </c>
      <c r="H91" s="18" t="str">
        <f t="shared" si="7"/>
        <v/>
      </c>
      <c r="I91" s="18" t="str">
        <f t="shared" si="8"/>
        <v/>
      </c>
      <c r="J91" s="18" t="str">
        <f t="shared" si="9"/>
        <v/>
      </c>
    </row>
    <row r="92" spans="6:10" x14ac:dyDescent="0.25">
      <c r="F92" s="9" t="str">
        <f t="shared" si="5"/>
        <v/>
      </c>
      <c r="G92" s="18" t="str">
        <f t="shared" si="6"/>
        <v/>
      </c>
      <c r="H92" s="18" t="str">
        <f t="shared" si="7"/>
        <v/>
      </c>
      <c r="I92" s="18" t="str">
        <f t="shared" si="8"/>
        <v/>
      </c>
      <c r="J92" s="18" t="str">
        <f t="shared" si="9"/>
        <v/>
      </c>
    </row>
    <row r="93" spans="6:10" x14ac:dyDescent="0.25">
      <c r="F93" s="9" t="str">
        <f t="shared" si="5"/>
        <v/>
      </c>
      <c r="G93" s="18" t="str">
        <f t="shared" si="6"/>
        <v/>
      </c>
      <c r="H93" s="18" t="str">
        <f t="shared" si="7"/>
        <v/>
      </c>
      <c r="I93" s="18" t="str">
        <f t="shared" si="8"/>
        <v/>
      </c>
      <c r="J93" s="18" t="str">
        <f t="shared" si="9"/>
        <v/>
      </c>
    </row>
    <row r="94" spans="6:10" x14ac:dyDescent="0.25">
      <c r="F94" s="9" t="str">
        <f t="shared" si="5"/>
        <v/>
      </c>
      <c r="G94" s="18" t="str">
        <f t="shared" si="6"/>
        <v/>
      </c>
      <c r="H94" s="18" t="str">
        <f t="shared" si="7"/>
        <v/>
      </c>
      <c r="I94" s="18" t="str">
        <f t="shared" si="8"/>
        <v/>
      </c>
      <c r="J94" s="18" t="str">
        <f t="shared" si="9"/>
        <v/>
      </c>
    </row>
    <row r="95" spans="6:10" x14ac:dyDescent="0.25">
      <c r="F95" s="9" t="str">
        <f t="shared" si="5"/>
        <v/>
      </c>
      <c r="G95" s="18" t="str">
        <f t="shared" si="6"/>
        <v/>
      </c>
      <c r="H95" s="18" t="str">
        <f t="shared" si="7"/>
        <v/>
      </c>
      <c r="I95" s="18" t="str">
        <f t="shared" si="8"/>
        <v/>
      </c>
      <c r="J95" s="18" t="str">
        <f t="shared" si="9"/>
        <v/>
      </c>
    </row>
    <row r="96" spans="6:10" x14ac:dyDescent="0.25">
      <c r="F96" s="9" t="str">
        <f t="shared" si="5"/>
        <v/>
      </c>
      <c r="G96" s="18" t="str">
        <f t="shared" si="6"/>
        <v/>
      </c>
      <c r="H96" s="18" t="str">
        <f t="shared" si="7"/>
        <v/>
      </c>
      <c r="I96" s="18" t="str">
        <f t="shared" si="8"/>
        <v/>
      </c>
      <c r="J96" s="18" t="str">
        <f t="shared" si="9"/>
        <v/>
      </c>
    </row>
    <row r="97" spans="1:18" x14ac:dyDescent="0.25">
      <c r="F97" s="9" t="str">
        <f t="shared" si="5"/>
        <v/>
      </c>
      <c r="G97" s="18" t="str">
        <f t="shared" si="6"/>
        <v/>
      </c>
      <c r="H97" s="18" t="str">
        <f t="shared" si="7"/>
        <v/>
      </c>
      <c r="I97" s="18" t="str">
        <f t="shared" si="8"/>
        <v/>
      </c>
      <c r="J97" s="18" t="str">
        <f t="shared" si="9"/>
        <v/>
      </c>
    </row>
    <row r="98" spans="1:18" x14ac:dyDescent="0.25">
      <c r="F98" s="9" t="str">
        <f t="shared" si="5"/>
        <v/>
      </c>
      <c r="G98" s="18" t="str">
        <f t="shared" si="6"/>
        <v/>
      </c>
      <c r="H98" s="18" t="str">
        <f t="shared" si="7"/>
        <v/>
      </c>
      <c r="I98" s="18" t="str">
        <f t="shared" si="8"/>
        <v/>
      </c>
      <c r="J98" s="18" t="str">
        <f t="shared" si="9"/>
        <v/>
      </c>
    </row>
    <row r="99" spans="1:18" x14ac:dyDescent="0.25">
      <c r="F99" s="9" t="str">
        <f t="shared" si="5"/>
        <v/>
      </c>
      <c r="G99" s="18" t="str">
        <f t="shared" si="6"/>
        <v/>
      </c>
      <c r="H99" s="18" t="str">
        <f t="shared" si="7"/>
        <v/>
      </c>
      <c r="I99" s="18" t="str">
        <f t="shared" si="8"/>
        <v/>
      </c>
      <c r="J99" s="18" t="str">
        <f t="shared" si="9"/>
        <v/>
      </c>
    </row>
    <row r="100" spans="1:18" x14ac:dyDescent="0.25">
      <c r="F100" s="9" t="str">
        <f t="shared" si="5"/>
        <v/>
      </c>
      <c r="G100" s="18" t="str">
        <f t="shared" si="6"/>
        <v/>
      </c>
      <c r="H100" s="18" t="str">
        <f t="shared" si="7"/>
        <v/>
      </c>
      <c r="I100" s="18" t="str">
        <f t="shared" si="8"/>
        <v/>
      </c>
      <c r="J100" s="18" t="str">
        <f t="shared" si="9"/>
        <v/>
      </c>
    </row>
    <row r="101" spans="1:18" x14ac:dyDescent="0.25">
      <c r="F101" s="9" t="str">
        <f t="shared" si="5"/>
        <v/>
      </c>
      <c r="G101" s="18" t="str">
        <f t="shared" si="6"/>
        <v/>
      </c>
      <c r="H101" s="18" t="str">
        <f t="shared" si="7"/>
        <v/>
      </c>
      <c r="I101" s="18" t="str">
        <f t="shared" si="8"/>
        <v/>
      </c>
      <c r="J101" s="18" t="str">
        <f t="shared" si="9"/>
        <v/>
      </c>
    </row>
    <row r="102" spans="1:18" x14ac:dyDescent="0.25">
      <c r="F102" s="9" t="str">
        <f t="shared" si="5"/>
        <v/>
      </c>
      <c r="G102" s="18" t="str">
        <f t="shared" si="6"/>
        <v/>
      </c>
      <c r="H102" s="18" t="str">
        <f t="shared" si="7"/>
        <v/>
      </c>
      <c r="I102" s="18" t="str">
        <f t="shared" si="8"/>
        <v/>
      </c>
      <c r="J102" s="18" t="str">
        <f t="shared" si="9"/>
        <v/>
      </c>
    </row>
    <row r="103" spans="1:18" x14ac:dyDescent="0.25">
      <c r="F103" s="9" t="str">
        <f t="shared" si="5"/>
        <v/>
      </c>
      <c r="G103" s="18" t="str">
        <f t="shared" si="6"/>
        <v/>
      </c>
      <c r="H103" s="18" t="str">
        <f t="shared" si="7"/>
        <v/>
      </c>
      <c r="I103" s="18" t="str">
        <f t="shared" si="8"/>
        <v/>
      </c>
      <c r="J103" s="18" t="str">
        <f t="shared" si="9"/>
        <v/>
      </c>
    </row>
    <row r="104" spans="1:18" x14ac:dyDescent="0.25">
      <c r="A104" s="23"/>
      <c r="B104" s="23"/>
      <c r="C104" s="23"/>
      <c r="D104" s="23"/>
      <c r="E104" s="23"/>
      <c r="F104" s="24" t="str">
        <f t="shared" si="5"/>
        <v/>
      </c>
      <c r="G104" s="25" t="str">
        <f t="shared" ref="G104" si="10">IF(F103&lt;$C$4,C102*C103,"")</f>
        <v/>
      </c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</row>
    <row r="105" spans="1:18" x14ac:dyDescent="0.25">
      <c r="F105" s="9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Team Information</vt:lpstr>
      <vt:lpstr>Loan_Amortization</vt:lpstr>
      <vt:lpstr>Sinking Fund2</vt:lpstr>
      <vt:lpstr>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JustinXu</dc:creator>
  <cp:lastModifiedBy>Daniel</cp:lastModifiedBy>
  <cp:lastPrinted>2020-08-03T17:45:10Z</cp:lastPrinted>
  <dcterms:created xsi:type="dcterms:W3CDTF">2017-03-23T00:06:01Z</dcterms:created>
  <dcterms:modified xsi:type="dcterms:W3CDTF">2020-08-03T17:45:28Z</dcterms:modified>
</cp:coreProperties>
</file>